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Totals" sheetId="2" state="visible" r:id="rId2"/>
    <sheet xmlns:r="http://schemas.openxmlformats.org/officeDocument/2006/relationships" name="Workplan" sheetId="3" state="visible" r:id="rId3"/>
  </sheets>
  <definedNames>
    <definedName name="_xlnm._FilterDatabase" localSheetId="0" hidden="1">'Schedule'!$A$3:$M$55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sz val="10"/>
    </font>
    <font>
      <name val="Arial"/>
      <color rgb="000645AD"/>
      <sz val="10"/>
      <u val="single"/>
    </font>
    <font>
      <name val="Arial"/>
      <b val="1"/>
      <sz val="13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2F4A6D"/>
      </patternFill>
    </fill>
    <fill>
      <patternFill patternType="solid">
        <fgColor rgb="00EAF2FB"/>
      </patternFill>
    </fill>
    <fill>
      <patternFill patternType="solid">
        <fgColor rgb="00FFF4C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914400" cy="1628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914400" cy="16287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914400" cy="1628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914400" cy="16287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914400" cy="1143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914400" cy="1143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914400" cy="16287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914400" cy="1628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914400" cy="1628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914400" cy="16287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914400" cy="16287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914400" cy="16287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914400" cy="16287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</row>
      <rowOff>0</rowOff>
    </from>
    <ext cx="914400" cy="16287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</row>
      <rowOff>0</rowOff>
    </from>
    <ext cx="914400" cy="16287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18</row>
      <rowOff>0</rowOff>
    </from>
    <ext cx="914400" cy="1371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</row>
      <rowOff>0</rowOff>
    </from>
    <ext cx="914400" cy="16287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20</row>
      <rowOff>0</rowOff>
    </from>
    <ext cx="914400" cy="16287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21</row>
      <rowOff>0</rowOff>
    </from>
    <ext cx="914400" cy="16287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22</row>
      <rowOff>0</rowOff>
    </from>
    <ext cx="914400" cy="16287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23</row>
      <rowOff>0</rowOff>
    </from>
    <ext cx="914400" cy="16287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24</row>
      <rowOff>0</rowOff>
    </from>
    <ext cx="914400" cy="16287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25</row>
      <rowOff>0</rowOff>
    </from>
    <ext cx="914400" cy="13716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26</row>
      <rowOff>0</rowOff>
    </from>
    <ext cx="914400" cy="1628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27</row>
      <rowOff>0</rowOff>
    </from>
    <ext cx="914400" cy="16287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28</row>
      <rowOff>0</rowOff>
    </from>
    <ext cx="914400" cy="1628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29</row>
      <rowOff>0</rowOff>
    </from>
    <ext cx="914400" cy="11430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30</row>
      <rowOff>0</rowOff>
    </from>
    <ext cx="914400" cy="16287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31</row>
      <rowOff>0</rowOff>
    </from>
    <ext cx="914400" cy="16287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32</row>
      <rowOff>0</rowOff>
    </from>
    <ext cx="914400" cy="16287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33</row>
      <rowOff>0</rowOff>
    </from>
    <ext cx="914400" cy="13716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34</row>
      <rowOff>0</rowOff>
    </from>
    <ext cx="914400" cy="16287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35</row>
      <rowOff>0</rowOff>
    </from>
    <ext cx="914400" cy="16287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36</row>
      <rowOff>0</rowOff>
    </from>
    <ext cx="914400" cy="16287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37</row>
      <rowOff>0</rowOff>
    </from>
    <ext cx="914400" cy="16287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38</row>
      <rowOff>0</rowOff>
    </from>
    <ext cx="914400" cy="1628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39</row>
      <rowOff>0</rowOff>
    </from>
    <ext cx="914400" cy="16287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40</row>
      <rowOff>0</rowOff>
    </from>
    <ext cx="914400" cy="13716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41</row>
      <rowOff>0</rowOff>
    </from>
    <ext cx="914400" cy="16287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42</row>
      <rowOff>0</rowOff>
    </from>
    <ext cx="914400" cy="11430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43</row>
      <rowOff>0</rowOff>
    </from>
    <ext cx="914400" cy="16287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44</row>
      <rowOff>0</rowOff>
    </from>
    <ext cx="914400" cy="16287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45</row>
      <rowOff>0</rowOff>
    </from>
    <ext cx="914400" cy="16287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46</row>
      <rowOff>0</rowOff>
    </from>
    <ext cx="914400" cy="13716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47</row>
      <rowOff>0</rowOff>
    </from>
    <ext cx="914400" cy="16287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48</row>
      <rowOff>0</rowOff>
    </from>
    <ext cx="914400" cy="16287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49</row>
      <rowOff>0</rowOff>
    </from>
    <ext cx="914400" cy="16287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50</row>
      <rowOff>0</rowOff>
    </from>
    <ext cx="914400" cy="16287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51</row>
      <rowOff>0</rowOff>
    </from>
    <ext cx="914400" cy="16287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52</row>
      <rowOff>0</rowOff>
    </from>
    <ext cx="914400" cy="16287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53</row>
      <rowOff>0</rowOff>
    </from>
    <ext cx="914400" cy="13716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2026-10-05/instagram/1-nico-guess-colors.mp4" TargetMode="External" Id="rId1"/><Relationship Type="http://schemas.openxmlformats.org/officeDocument/2006/relationships/hyperlink" Target="2026-10-05/youtube/1-yt-nico-guess-colors.mp4" TargetMode="External" Id="rId2"/><Relationship Type="http://schemas.openxmlformats.org/officeDocument/2006/relationships/hyperlink" Target="2026-10-05/tiktok/1-nico-guess-colors.mp4" TargetMode="External" Id="rId3"/><Relationship Type="http://schemas.openxmlformats.org/officeDocument/2006/relationships/hyperlink" Target="2026-10-05/facebook/1-nico-guess-colors.mp4" TargetMode="External" Id="rId4"/><Relationship Type="http://schemas.openxmlformats.org/officeDocument/2006/relationships/hyperlink" Target="nico/carousel-gift" TargetMode="External" Id="rId5"/><Relationship Type="http://schemas.openxmlformats.org/officeDocument/2006/relationships/hyperlink" Target="nico/carousel-gift" TargetMode="External" Id="rId6"/><Relationship Type="http://schemas.openxmlformats.org/officeDocument/2006/relationships/hyperlink" Target="2026-10-05/tiktok/3-benny-3-ways.mp4" TargetMode="External" Id="rId7"/><Relationship Type="http://schemas.openxmlformats.org/officeDocument/2006/relationships/hyperlink" Target="2026-10-05/youtube/2-yt-benny-can-they-read.mp4" TargetMode="External" Id="rId8"/><Relationship Type="http://schemas.openxmlformats.org/officeDocument/2006/relationships/hyperlink" Target="2026-10-05/instagram/4-nico-bedtime-story-part1.mp4" TargetMode="External" Id="rId9"/><Relationship Type="http://schemas.openxmlformats.org/officeDocument/2006/relationships/hyperlink" Target="2026-10-06/instagram-facebook/1-nico-story-part2.mp4" TargetMode="External" Id="rId10"/><Relationship Type="http://schemas.openxmlformats.org/officeDocument/2006/relationships/hyperlink" Target="2026-10-06/tiktok/1-nico-story-part1.mp4" TargetMode="External" Id="rId11"/><Relationship Type="http://schemas.openxmlformats.org/officeDocument/2006/relationships/hyperlink" Target="2026-10-06/youtube/1-nico-story-part1.mp4" TargetMode="External" Id="rId12"/><Relationship Type="http://schemas.openxmlformats.org/officeDocument/2006/relationships/hyperlink" Target="2026-10-06/instagram-facebook/2-benny-find-bella.mp4" TargetMode="External" Id="rId13"/><Relationship Type="http://schemas.openxmlformats.org/officeDocument/2006/relationships/hyperlink" Target="2026-10-06/tiktok/2-benny-find-bella.mp4" TargetMode="External" Id="rId14"/><Relationship Type="http://schemas.openxmlformats.org/officeDocument/2006/relationships/hyperlink" Target="2026-10-06/youtube/2-yt-benny-find-bella.mp4" TargetMode="External" Id="rId15"/><Relationship Type="http://schemas.openxmlformats.org/officeDocument/2006/relationships/hyperlink" Target="2026-10-06/pinterest/1-nico-pin-before-after.png" TargetMode="External" Id="rId16"/><Relationship Type="http://schemas.openxmlformats.org/officeDocument/2006/relationships/hyperlink" Target="2026-10-07/1-nico-story-part3.mp4" TargetMode="External" Id="rId17"/><Relationship Type="http://schemas.openxmlformats.org/officeDocument/2006/relationships/hyperlink" Target="2026-10-07/2-nico-story-part2.mp4" TargetMode="External" Id="rId18"/><Relationship Type="http://schemas.openxmlformats.org/officeDocument/2006/relationships/hyperlink" Target="2026-10-07/2-nico-story-part2.mp4" TargetMode="External" Id="rId19"/><Relationship Type="http://schemas.openxmlformats.org/officeDocument/2006/relationships/hyperlink" Target="2026-10-07/3-benny-guess-kite.mp4" TargetMode="External" Id="rId20"/><Relationship Type="http://schemas.openxmlformats.org/officeDocument/2006/relationships/hyperlink" Target="2026-10-07/3-benny-guess-kite.mp4" TargetMode="External" Id="rId21"/><Relationship Type="http://schemas.openxmlformats.org/officeDocument/2006/relationships/hyperlink" Target="2026-10-07/3-yt-benny-guess-kite.mp4" TargetMode="External" Id="rId22"/><Relationship Type="http://schemas.openxmlformats.org/officeDocument/2006/relationships/hyperlink" Target="2026-10-07/4-pin-benny-before-after.png" TargetMode="External" Id="rId23"/><Relationship Type="http://schemas.openxmlformats.org/officeDocument/2006/relationships/hyperlink" Target="2026-10-08/1-nico-screenfree.mp4" TargetMode="External" Id="rId24"/><Relationship Type="http://schemas.openxmlformats.org/officeDocument/2006/relationships/hyperlink" Target="2026-10-08/2-nico-story-part3.mp4" TargetMode="External" Id="rId25"/><Relationship Type="http://schemas.openxmlformats.org/officeDocument/2006/relationships/hyperlink" Target="2026-10-08/2-nico-story-part3.mp4" TargetMode="External" Id="rId26"/><Relationship Type="http://schemas.openxmlformats.org/officeDocument/2006/relationships/hyperlink" Target="2026-10-08/3-benny-gift-carousel" TargetMode="External" Id="rId27"/><Relationship Type="http://schemas.openxmlformats.org/officeDocument/2006/relationships/hyperlink" Target="2026-10-08/4-benny-can-they-read.mp4" TargetMode="External" Id="rId28"/><Relationship Type="http://schemas.openxmlformats.org/officeDocument/2006/relationships/hyperlink" Target="2026-10-08/4-benny-can-they-read.mp4" TargetMode="External" Id="rId29"/><Relationship Type="http://schemas.openxmlformats.org/officeDocument/2006/relationships/hyperlink" Target="2026-10-08/5-yt-benny-guess-hide.mp4" TargetMode="External" Id="rId30"/><Relationship Type="http://schemas.openxmlformats.org/officeDocument/2006/relationships/hyperlink" Target="2026-10-08/6-pin-nico-pages.png" TargetMode="External" Id="rId31"/><Relationship Type="http://schemas.openxmlformats.org/officeDocument/2006/relationships/hyperlink" Target="2026-10-09/1-nico-guess-scarf.mp4" TargetMode="External" Id="rId32"/><Relationship Type="http://schemas.openxmlformats.org/officeDocument/2006/relationships/hyperlink" Target="2026-10-09/1-nico-guess-scarf.mp4" TargetMode="External" Id="rId33"/><Relationship Type="http://schemas.openxmlformats.org/officeDocument/2006/relationships/hyperlink" Target="2026-10-09/1-yt-nico-guess-scarf.mp4" TargetMode="External" Id="rId34"/><Relationship Type="http://schemas.openxmlformats.org/officeDocument/2006/relationships/hyperlink" Target="2026-10-09/2-nico-screenfree.mp4" TargetMode="External" Id="rId35"/><Relationship Type="http://schemas.openxmlformats.org/officeDocument/2006/relationships/hyperlink" Target="2026-10-09/2-nico-screenfree.mp4" TargetMode="External" Id="rId36"/><Relationship Type="http://schemas.openxmlformats.org/officeDocument/2006/relationships/hyperlink" Target="2026-10-09/3-benny-guess-hide.mp4" TargetMode="External" Id="rId37"/><Relationship Type="http://schemas.openxmlformats.org/officeDocument/2006/relationships/hyperlink" Target="2026-10-09/4-pin-nico-gift.png" TargetMode="External" Id="rId38"/><Relationship Type="http://schemas.openxmlformats.org/officeDocument/2006/relationships/hyperlink" Target="2026-10-10/1-nico-gift-carousel-video.mp4" TargetMode="External" Id="rId39"/><Relationship Type="http://schemas.openxmlformats.org/officeDocument/2006/relationships/hyperlink" Target="2026-10-10/2-nico-story-carousel" TargetMode="External" Id="rId40"/><Relationship Type="http://schemas.openxmlformats.org/officeDocument/2006/relationships/hyperlink" Target="2026-10-10/3-benny-guess-butterfly.mp4" TargetMode="External" Id="rId41"/><Relationship Type="http://schemas.openxmlformats.org/officeDocument/2006/relationships/hyperlink" Target="2026-10-10/3-benny-guess-butterfly.mp4" TargetMode="External" Id="rId42"/><Relationship Type="http://schemas.openxmlformats.org/officeDocument/2006/relationships/hyperlink" Target="2026-10-10/3-yt-benny-guess-butterfly.mp4" TargetMode="External" Id="rId43"/><Relationship Type="http://schemas.openxmlformats.org/officeDocument/2006/relationships/hyperlink" Target="2026-10-10/4-pin-benny-pages.png" TargetMode="External" Id="rId44"/><Relationship Type="http://schemas.openxmlformats.org/officeDocument/2006/relationships/hyperlink" Target="2026-10-11/1-nico-guess-angel.mp4" TargetMode="External" Id="rId45"/><Relationship Type="http://schemas.openxmlformats.org/officeDocument/2006/relationships/hyperlink" Target="2026-10-11/1-nico-guess-angel.mp4" TargetMode="External" Id="rId46"/><Relationship Type="http://schemas.openxmlformats.org/officeDocument/2006/relationships/hyperlink" Target="2026-10-11/1-yt-nico-guess-angel.mp4" TargetMode="External" Id="rId47"/><Relationship Type="http://schemas.openxmlformats.org/officeDocument/2006/relationships/hyperlink" Target="2026-10-11/2-benny-read-along.mp4" TargetMode="External" Id="rId48"/><Relationship Type="http://schemas.openxmlformats.org/officeDocument/2006/relationships/hyperlink" Target="2026-10-11/2-benny-read-along.mp4" TargetMode="External" Id="rId49"/><Relationship Type="http://schemas.openxmlformats.org/officeDocument/2006/relationships/hyperlink" Target="2026-10-11/2-yt-benny-read-along.mp4" TargetMode="External" Id="rId50"/><Relationship Type="http://schemas.openxmlformats.org/officeDocument/2006/relationships/hyperlink" Target="2026-10-11/3-pin-nico-cover.png" TargetMode="External" Id="rId51"/><Relationship Type="http://schemas.openxmlformats.org/officeDocument/2006/relationships/drawing" Target="/xl/drawings/drawing1.xml" Id="rId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8" customWidth="1" min="3" max="3"/>
    <col width="16" customWidth="1" min="4" max="4"/>
    <col width="7" customWidth="1" min="5" max="5"/>
    <col width="15" customWidth="1" min="6" max="6"/>
    <col width="26" customWidth="1" min="7" max="7"/>
    <col width="14" customWidth="1" min="8" max="8"/>
    <col width="62" customWidth="1" min="9" max="9"/>
    <col width="30" customWidth="1" min="10" max="10"/>
    <col width="11" customWidth="1" min="11" max="11"/>
    <col width="10" customWidth="1" min="12" max="12"/>
    <col width="10" customWidth="1" min="13" max="13"/>
  </cols>
  <sheetData>
    <row r="1">
      <c r="A1" s="1" t="inlineStr">
        <is>
          <t>Little Crayon Tales: ad schedule, week of Oct 5</t>
        </is>
      </c>
    </row>
    <row r="2">
      <c r="A2" s="2" t="inlineStr">
        <is>
          <t>Click 'Open file' to open the video (open this sheet from the kids-coloring-books/campaigns folder after 'pull'). Yellow = you fill in. Captions are ready to copy.</t>
        </is>
      </c>
    </row>
    <row r="3">
      <c r="A3" s="3" t="inlineStr">
        <is>
          <t>Date</t>
        </is>
      </c>
      <c r="B3" s="3" t="inlineStr">
        <is>
          <t>Day</t>
        </is>
      </c>
      <c r="C3" s="3" t="inlineStr">
        <is>
          <t>Time (CZ)</t>
        </is>
      </c>
      <c r="D3" s="3" t="inlineStr">
        <is>
          <t>Platform</t>
        </is>
      </c>
      <c r="E3" s="3" t="inlineStr">
        <is>
          <t>Book</t>
        </is>
      </c>
      <c r="F3" s="3" t="inlineStr">
        <is>
          <t>Preview</t>
        </is>
      </c>
      <c r="G3" s="3" t="inlineStr">
        <is>
          <t>What</t>
        </is>
      </c>
      <c r="H3" s="3" t="inlineStr">
        <is>
          <t>Open file</t>
        </is>
      </c>
      <c r="I3" s="3" t="inlineStr">
        <is>
          <t>Caption / title (copy)</t>
        </is>
      </c>
      <c r="J3" s="3" t="inlineStr">
        <is>
          <t>Notes</t>
        </is>
      </c>
      <c r="K3" s="3" t="inlineStr">
        <is>
          <t>Status</t>
        </is>
      </c>
      <c r="L3" s="3" t="inlineStr">
        <is>
          <t>Views (3 days)</t>
        </is>
      </c>
      <c r="M3" s="3" t="inlineStr">
        <is>
          <t>Link clicks</t>
        </is>
      </c>
    </row>
    <row r="4" ht="135" customHeight="1">
      <c r="A4" s="4" t="inlineStr">
        <is>
          <t>2026-10-05</t>
        </is>
      </c>
      <c r="B4" s="4" t="inlineStr">
        <is>
          <t>Mon</t>
        </is>
      </c>
      <c r="C4" s="4" t="inlineStr">
        <is>
          <t>10:30</t>
        </is>
      </c>
      <c r="D4" s="4" t="inlineStr">
        <is>
          <t>Instagram</t>
        </is>
      </c>
      <c r="E4" s="4" t="inlineStr">
        <is>
          <t>Nico</t>
        </is>
      </c>
      <c r="F4" s="4" t="inlineStr"/>
      <c r="G4" s="4" t="inlineStr">
        <is>
          <t>Reel: guess the colors</t>
        </is>
      </c>
      <c r="H4" s="5" t="inlineStr">
        <is>
          <t>▶ Open file</t>
        </is>
      </c>
      <c r="I4" s="4" t="inlineStr">
        <is>
          <t>In that day's CAPTIONS.md / POST-TODAY.md</t>
        </is>
      </c>
      <c r="J4" s="4" t="inlineStr">
        <is>
          <t>campaigns/2026-10-05/instagram/1-nico-guess-colors.mp4</t>
        </is>
      </c>
      <c r="K4" s="6" t="inlineStr">
        <is>
          <t>Posted</t>
        </is>
      </c>
      <c r="L4" s="6" t="inlineStr"/>
      <c r="M4" s="6" t="inlineStr"/>
    </row>
    <row r="5" ht="135" customHeight="1">
      <c r="A5" s="4" t="inlineStr">
        <is>
          <t>2026-10-05</t>
        </is>
      </c>
      <c r="B5" s="4" t="inlineStr">
        <is>
          <t>Mon</t>
        </is>
      </c>
      <c r="C5" s="4" t="inlineStr">
        <is>
          <t>19:00</t>
        </is>
      </c>
      <c r="D5" s="4" t="inlineStr">
        <is>
          <t>YouTube Shorts</t>
        </is>
      </c>
      <c r="E5" s="4" t="inlineStr">
        <is>
          <t>Nico</t>
        </is>
      </c>
      <c r="F5" s="4" t="inlineStr"/>
      <c r="G5" s="4" t="inlineStr">
        <is>
          <t>Short: guess the colors</t>
        </is>
      </c>
      <c r="H5" s="5" t="inlineStr">
        <is>
          <t>▶ Open file</t>
        </is>
      </c>
      <c r="I5" s="4" t="inlineStr">
        <is>
          <t>In that day's CAPTIONS.md / POST-TODAY.md</t>
        </is>
      </c>
      <c r="J5" s="4" t="inlineStr">
        <is>
          <t>campaigns/2026-10-05/youtube/1-yt-nico-guess-colors.mp4</t>
        </is>
      </c>
      <c r="K5" s="6" t="inlineStr">
        <is>
          <t>Scheduled</t>
        </is>
      </c>
      <c r="L5" s="6" t="inlineStr"/>
      <c r="M5" s="6" t="inlineStr"/>
    </row>
    <row r="6" ht="135" customHeight="1">
      <c r="A6" s="4" t="inlineStr">
        <is>
          <t>2026-10-05</t>
        </is>
      </c>
      <c r="B6" s="4" t="inlineStr">
        <is>
          <t>Mon</t>
        </is>
      </c>
      <c r="C6" s="4" t="inlineStr">
        <is>
          <t>19:00</t>
        </is>
      </c>
      <c r="D6" s="4" t="inlineStr">
        <is>
          <t>TikTok</t>
        </is>
      </c>
      <c r="E6" s="4" t="inlineStr">
        <is>
          <t>Nico</t>
        </is>
      </c>
      <c r="F6" s="4" t="inlineStr"/>
      <c r="G6" s="4" t="inlineStr">
        <is>
          <t>Video: guess the colors</t>
        </is>
      </c>
      <c r="H6" s="5" t="inlineStr">
        <is>
          <t>▶ Open file</t>
        </is>
      </c>
      <c r="I6" s="4" t="inlineStr">
        <is>
          <t>In that day's CAPTIONS.md / POST-TODAY.md</t>
        </is>
      </c>
      <c r="J6" s="4" t="inlineStr">
        <is>
          <t>campaigns/2026-10-05/tiktok/1-nico-guess-colors.mp4</t>
        </is>
      </c>
      <c r="K6" s="6" t="inlineStr">
        <is>
          <t>Scheduled</t>
        </is>
      </c>
      <c r="L6" s="6" t="inlineStr"/>
      <c r="M6" s="6" t="inlineStr"/>
    </row>
    <row r="7" ht="135" customHeight="1">
      <c r="A7" s="4" t="inlineStr">
        <is>
          <t>2026-10-05</t>
        </is>
      </c>
      <c r="B7" s="4" t="inlineStr">
        <is>
          <t>Mon</t>
        </is>
      </c>
      <c r="C7" s="4" t="inlineStr">
        <is>
          <t>19:00</t>
        </is>
      </c>
      <c r="D7" s="4" t="inlineStr">
        <is>
          <t>Facebook</t>
        </is>
      </c>
      <c r="E7" s="4" t="inlineStr">
        <is>
          <t>Nico</t>
        </is>
      </c>
      <c r="F7" s="4" t="inlineStr"/>
      <c r="G7" s="4" t="inlineStr">
        <is>
          <t>Reel: guess the colors</t>
        </is>
      </c>
      <c r="H7" s="5" t="inlineStr">
        <is>
          <t>▶ Open file</t>
        </is>
      </c>
      <c r="I7" s="4" t="inlineStr">
        <is>
          <t>In that day's CAPTIONS.md / POST-TODAY.md</t>
        </is>
      </c>
      <c r="J7" s="4" t="inlineStr">
        <is>
          <t>campaigns/2026-10-05/facebook/1-nico-guess-colors.mp4</t>
        </is>
      </c>
      <c r="K7" s="6" t="inlineStr">
        <is>
          <t>Scheduled</t>
        </is>
      </c>
      <c r="L7" s="6" t="inlineStr"/>
      <c r="M7" s="6" t="inlineStr"/>
    </row>
    <row r="8" ht="135" customHeight="1">
      <c r="A8" s="4" t="inlineStr">
        <is>
          <t>2026-10-05</t>
        </is>
      </c>
      <c r="B8" s="4" t="inlineStr">
        <is>
          <t>Mon</t>
        </is>
      </c>
      <c r="C8" s="4" t="inlineStr">
        <is>
          <t>20:00</t>
        </is>
      </c>
      <c r="D8" s="4" t="inlineStr">
        <is>
          <t>IG + FB</t>
        </is>
      </c>
      <c r="E8" s="4" t="inlineStr">
        <is>
          <t>Nico</t>
        </is>
      </c>
      <c r="F8" s="4" t="inlineStr"/>
      <c r="G8" s="4" t="inlineStr">
        <is>
          <t>Photo carousel: gift</t>
        </is>
      </c>
      <c r="H8" s="5" t="inlineStr">
        <is>
          <t>📁 Open slides folder</t>
        </is>
      </c>
      <c r="I8" s="4" t="inlineStr">
        <is>
          <t>In that day's CAPTIONS.md / POST-TODAY.md</t>
        </is>
      </c>
      <c r="J8" s="4" t="inlineStr">
        <is>
          <t>campaigns/nico/carousel-gift</t>
        </is>
      </c>
      <c r="K8" s="6" t="inlineStr">
        <is>
          <t>Scheduled</t>
        </is>
      </c>
      <c r="L8" s="6" t="inlineStr"/>
      <c r="M8" s="6" t="inlineStr"/>
    </row>
    <row r="9" ht="135" customHeight="1">
      <c r="A9" s="4" t="inlineStr">
        <is>
          <t>2026-10-05</t>
        </is>
      </c>
      <c r="B9" s="4" t="inlineStr">
        <is>
          <t>Mon</t>
        </is>
      </c>
      <c r="C9" s="4" t="inlineStr">
        <is>
          <t>20:00</t>
        </is>
      </c>
      <c r="D9" s="4" t="inlineStr">
        <is>
          <t>TikTok</t>
        </is>
      </c>
      <c r="E9" s="4" t="inlineStr">
        <is>
          <t>Nico</t>
        </is>
      </c>
      <c r="F9" s="4" t="inlineStr"/>
      <c r="G9" s="4" t="inlineStr">
        <is>
          <t>Photo carousel: gift</t>
        </is>
      </c>
      <c r="H9" s="5" t="inlineStr">
        <is>
          <t>📁 Open slides folder</t>
        </is>
      </c>
      <c r="I9" s="4" t="inlineStr">
        <is>
          <t>In that day's CAPTIONS.md / POST-TODAY.md</t>
        </is>
      </c>
      <c r="J9" s="4" t="inlineStr">
        <is>
          <t>campaigns/nico/carousel-gift</t>
        </is>
      </c>
      <c r="K9" s="6" t="inlineStr">
        <is>
          <t>Scheduled</t>
        </is>
      </c>
      <c r="L9" s="6" t="inlineStr"/>
      <c r="M9" s="6" t="inlineStr"/>
    </row>
    <row r="10" ht="135" customHeight="1">
      <c r="A10" s="4" t="inlineStr">
        <is>
          <t>2026-10-05</t>
        </is>
      </c>
      <c r="B10" s="4" t="inlineStr">
        <is>
          <t>Mon</t>
        </is>
      </c>
      <c r="C10" s="4" t="inlineStr">
        <is>
          <t>21:00</t>
        </is>
      </c>
      <c r="D10" s="4" t="inlineStr">
        <is>
          <t>TikTok</t>
        </is>
      </c>
      <c r="E10" s="4" t="inlineStr">
        <is>
          <t>Benny</t>
        </is>
      </c>
      <c r="F10" s="4" t="inlineStr"/>
      <c r="G10" s="4" t="inlineStr">
        <is>
          <t>Video: same page 3 ways</t>
        </is>
      </c>
      <c r="H10" s="5" t="inlineStr">
        <is>
          <t>▶ Open file</t>
        </is>
      </c>
      <c r="I10" s="4" t="inlineStr">
        <is>
          <t>In that day's CAPTIONS.md / POST-TODAY.md</t>
        </is>
      </c>
      <c r="J10" s="4" t="inlineStr">
        <is>
          <t>campaigns/2026-10-05/tiktok/3-benny-3-ways.mp4</t>
        </is>
      </c>
      <c r="K10" s="6" t="inlineStr">
        <is>
          <t>Scheduled</t>
        </is>
      </c>
      <c r="L10" s="6" t="inlineStr"/>
      <c r="M10" s="6" t="inlineStr"/>
    </row>
    <row r="11" ht="135" customHeight="1">
      <c r="A11" s="4" t="inlineStr">
        <is>
          <t>2026-10-05</t>
        </is>
      </c>
      <c r="B11" s="4" t="inlineStr">
        <is>
          <t>Mon</t>
        </is>
      </c>
      <c r="C11" s="4" t="inlineStr">
        <is>
          <t>21:00</t>
        </is>
      </c>
      <c r="D11" s="4" t="inlineStr">
        <is>
          <t>YouTube Shorts</t>
        </is>
      </c>
      <c r="E11" s="4" t="inlineStr">
        <is>
          <t>Benny</t>
        </is>
      </c>
      <c r="F11" s="4" t="inlineStr"/>
      <c r="G11" s="4" t="inlineStr">
        <is>
          <t>Short: can your 4-year-old read this?</t>
        </is>
      </c>
      <c r="H11" s="5" t="inlineStr">
        <is>
          <t>▶ Open file</t>
        </is>
      </c>
      <c r="I11" s="4" t="inlineStr">
        <is>
          <t>In that day's CAPTIONS.md / POST-TODAY.md</t>
        </is>
      </c>
      <c r="J11" s="4" t="inlineStr">
        <is>
          <t>campaigns/2026-10-05/youtube/2-yt-benny-can-they-read.mp4</t>
        </is>
      </c>
      <c r="K11" s="6" t="inlineStr">
        <is>
          <t>Scheduled</t>
        </is>
      </c>
      <c r="L11" s="6" t="inlineStr"/>
      <c r="M11" s="6" t="inlineStr"/>
    </row>
    <row r="12" ht="135" customHeight="1">
      <c r="A12" s="4" t="inlineStr">
        <is>
          <t>2026-10-05</t>
        </is>
      </c>
      <c r="B12" s="4" t="inlineStr">
        <is>
          <t>Mon</t>
        </is>
      </c>
      <c r="C12" s="4" t="inlineStr">
        <is>
          <t>21:00</t>
        </is>
      </c>
      <c r="D12" s="4" t="inlineStr">
        <is>
          <t>IG + FB</t>
        </is>
      </c>
      <c r="E12" s="4" t="inlineStr">
        <is>
          <t>Nico</t>
        </is>
      </c>
      <c r="F12" s="4" t="inlineStr"/>
      <c r="G12" s="4" t="inlineStr">
        <is>
          <t>Reel: bedtime story part 1</t>
        </is>
      </c>
      <c r="H12" s="5" t="inlineStr">
        <is>
          <t>▶ Open file</t>
        </is>
      </c>
      <c r="I12" s="4" t="inlineStr">
        <is>
          <t>In that day's CAPTIONS.md / POST-TODAY.md</t>
        </is>
      </c>
      <c r="J12" s="4" t="inlineStr">
        <is>
          <t>campaigns/2026-10-05/instagram/4-nico-bedtime-story-part1.mp4</t>
        </is>
      </c>
      <c r="K12" s="6" t="inlineStr">
        <is>
          <t>Scheduled</t>
        </is>
      </c>
      <c r="L12" s="6" t="inlineStr"/>
      <c r="M12" s="6" t="inlineStr"/>
    </row>
    <row r="13" ht="135" customHeight="1">
      <c r="A13" s="7" t="inlineStr">
        <is>
          <t>2026-10-06</t>
        </is>
      </c>
      <c r="B13" s="7" t="inlineStr">
        <is>
          <t>Tue</t>
        </is>
      </c>
      <c r="C13" s="7" t="inlineStr">
        <is>
          <t>19:00</t>
        </is>
      </c>
      <c r="D13" s="7" t="inlineStr">
        <is>
          <t>IG + FB</t>
        </is>
      </c>
      <c r="E13" s="7" t="inlineStr">
        <is>
          <t>Nico</t>
        </is>
      </c>
      <c r="F13" s="7" t="inlineStr"/>
      <c r="G13" s="7" t="inlineStr">
        <is>
          <t>Reel: bedtime story part 2</t>
        </is>
      </c>
      <c r="H13" s="8" t="inlineStr">
        <is>
          <t>▶ Open file</t>
        </is>
      </c>
      <c r="I13" s="7" t="inlineStr">
        <is>
          <t>In that day's CAPTIONS.md / POST-TODAY.md</t>
        </is>
      </c>
      <c r="J13" s="7" t="inlineStr">
        <is>
          <t>campaigns/2026-10-06/instagram-facebook/1-nico-story-part2.mp4</t>
        </is>
      </c>
      <c r="K13" s="6" t="inlineStr">
        <is>
          <t>Planned</t>
        </is>
      </c>
      <c r="L13" s="6" t="inlineStr"/>
      <c r="M13" s="6" t="inlineStr"/>
    </row>
    <row r="14" ht="135" customHeight="1">
      <c r="A14" s="7" t="inlineStr">
        <is>
          <t>2026-10-06</t>
        </is>
      </c>
      <c r="B14" s="7" t="inlineStr">
        <is>
          <t>Tue</t>
        </is>
      </c>
      <c r="C14" s="7" t="inlineStr">
        <is>
          <t>19:00</t>
        </is>
      </c>
      <c r="D14" s="7" t="inlineStr">
        <is>
          <t>TikTok</t>
        </is>
      </c>
      <c r="E14" s="7" t="inlineStr">
        <is>
          <t>Nico</t>
        </is>
      </c>
      <c r="F14" s="7" t="inlineStr"/>
      <c r="G14" s="7" t="inlineStr">
        <is>
          <t>Video: bedtime story part 1</t>
        </is>
      </c>
      <c r="H14" s="8" t="inlineStr">
        <is>
          <t>▶ Open file</t>
        </is>
      </c>
      <c r="I14" s="7" t="inlineStr">
        <is>
          <t>In that day's CAPTIONS.md / POST-TODAY.md</t>
        </is>
      </c>
      <c r="J14" s="7" t="inlineStr">
        <is>
          <t>campaigns/2026-10-06/tiktok/1-nico-story-part1.mp4</t>
        </is>
      </c>
      <c r="K14" s="6" t="inlineStr">
        <is>
          <t>Planned</t>
        </is>
      </c>
      <c r="L14" s="6" t="inlineStr"/>
      <c r="M14" s="6" t="inlineStr"/>
    </row>
    <row r="15" ht="135" customHeight="1">
      <c r="A15" s="7" t="inlineStr">
        <is>
          <t>2026-10-06</t>
        </is>
      </c>
      <c r="B15" s="7" t="inlineStr">
        <is>
          <t>Tue</t>
        </is>
      </c>
      <c r="C15" s="7" t="inlineStr">
        <is>
          <t>19:00</t>
        </is>
      </c>
      <c r="D15" s="7" t="inlineStr">
        <is>
          <t>YouTube Shorts</t>
        </is>
      </c>
      <c r="E15" s="7" t="inlineStr">
        <is>
          <t>Nico</t>
        </is>
      </c>
      <c r="F15" s="7" t="inlineStr"/>
      <c r="G15" s="7" t="inlineStr">
        <is>
          <t>Short: bedtime story part 1</t>
        </is>
      </c>
      <c r="H15" s="8" t="inlineStr">
        <is>
          <t>▶ Open file</t>
        </is>
      </c>
      <c r="I15" s="7" t="inlineStr">
        <is>
          <t>In that day's CAPTIONS.md / POST-TODAY.md</t>
        </is>
      </c>
      <c r="J15" s="7" t="inlineStr">
        <is>
          <t>campaigns/2026-10-06/youtube/1-nico-story-part1.mp4</t>
        </is>
      </c>
      <c r="K15" s="6" t="inlineStr">
        <is>
          <t>Planned</t>
        </is>
      </c>
      <c r="L15" s="6" t="inlineStr"/>
      <c r="M15" s="6" t="inlineStr"/>
    </row>
    <row r="16" ht="135" customHeight="1">
      <c r="A16" s="7" t="inlineStr">
        <is>
          <t>2026-10-06</t>
        </is>
      </c>
      <c r="B16" s="7" t="inlineStr">
        <is>
          <t>Tue</t>
        </is>
      </c>
      <c r="C16" s="7" t="inlineStr">
        <is>
          <t>21:00</t>
        </is>
      </c>
      <c r="D16" s="7" t="inlineStr">
        <is>
          <t>IG + FB</t>
        </is>
      </c>
      <c r="E16" s="7" t="inlineStr">
        <is>
          <t>Benny</t>
        </is>
      </c>
      <c r="F16" s="7" t="inlineStr"/>
      <c r="G16" s="7" t="inlineStr">
        <is>
          <t>Reel: can you find Bella?</t>
        </is>
      </c>
      <c r="H16" s="8" t="inlineStr">
        <is>
          <t>▶ Open file</t>
        </is>
      </c>
      <c r="I16" s="7" t="inlineStr">
        <is>
          <t>In that day's CAPTIONS.md / POST-TODAY.md</t>
        </is>
      </c>
      <c r="J16" s="7" t="inlineStr">
        <is>
          <t>campaigns/2026-10-06/instagram-facebook/2-benny-find-bella.mp4</t>
        </is>
      </c>
      <c r="K16" s="6" t="inlineStr">
        <is>
          <t>Planned</t>
        </is>
      </c>
      <c r="L16" s="6" t="inlineStr"/>
      <c r="M16" s="6" t="inlineStr"/>
    </row>
    <row r="17" ht="135" customHeight="1">
      <c r="A17" s="7" t="inlineStr">
        <is>
          <t>2026-10-06</t>
        </is>
      </c>
      <c r="B17" s="7" t="inlineStr">
        <is>
          <t>Tue</t>
        </is>
      </c>
      <c r="C17" s="7" t="inlineStr">
        <is>
          <t>21:00</t>
        </is>
      </c>
      <c r="D17" s="7" t="inlineStr">
        <is>
          <t>TikTok</t>
        </is>
      </c>
      <c r="E17" s="7" t="inlineStr">
        <is>
          <t>Benny</t>
        </is>
      </c>
      <c r="F17" s="7" t="inlineStr"/>
      <c r="G17" s="7" t="inlineStr">
        <is>
          <t>Video: can you find Bella?</t>
        </is>
      </c>
      <c r="H17" s="8" t="inlineStr">
        <is>
          <t>▶ Open file</t>
        </is>
      </c>
      <c r="I17" s="7" t="inlineStr">
        <is>
          <t>In that day's CAPTIONS.md / POST-TODAY.md</t>
        </is>
      </c>
      <c r="J17" s="7" t="inlineStr">
        <is>
          <t>campaigns/2026-10-06/tiktok/2-benny-find-bella.mp4</t>
        </is>
      </c>
      <c r="K17" s="6" t="inlineStr">
        <is>
          <t>Planned</t>
        </is>
      </c>
      <c r="L17" s="6" t="inlineStr"/>
      <c r="M17" s="6" t="inlineStr"/>
    </row>
    <row r="18" ht="135" customHeight="1">
      <c r="A18" s="7" t="inlineStr">
        <is>
          <t>2026-10-06</t>
        </is>
      </c>
      <c r="B18" s="7" t="inlineStr">
        <is>
          <t>Tue</t>
        </is>
      </c>
      <c r="C18" s="7" t="inlineStr">
        <is>
          <t>21:00</t>
        </is>
      </c>
      <c r="D18" s="7" t="inlineStr">
        <is>
          <t>YouTube Shorts</t>
        </is>
      </c>
      <c r="E18" s="7" t="inlineStr">
        <is>
          <t>Benny</t>
        </is>
      </c>
      <c r="F18" s="7" t="inlineStr"/>
      <c r="G18" s="7" t="inlineStr">
        <is>
          <t>Short: can you find Bella?</t>
        </is>
      </c>
      <c r="H18" s="8" t="inlineStr">
        <is>
          <t>▶ Open file</t>
        </is>
      </c>
      <c r="I18" s="7" t="inlineStr">
        <is>
          <t>In that day's CAPTIONS.md / POST-TODAY.md</t>
        </is>
      </c>
      <c r="J18" s="7" t="inlineStr">
        <is>
          <t>campaigns/2026-10-06/youtube/2-yt-benny-find-bella.mp4</t>
        </is>
      </c>
      <c r="K18" s="6" t="inlineStr">
        <is>
          <t>Planned</t>
        </is>
      </c>
      <c r="L18" s="6" t="inlineStr"/>
      <c r="M18" s="6" t="inlineStr"/>
    </row>
    <row r="19" ht="135" customHeight="1">
      <c r="A19" s="7" t="inlineStr">
        <is>
          <t>2026-10-06</t>
        </is>
      </c>
      <c r="B19" s="7" t="inlineStr">
        <is>
          <t>Tue</t>
        </is>
      </c>
      <c r="C19" s="7" t="inlineStr">
        <is>
          <t>any</t>
        </is>
      </c>
      <c r="D19" s="7" t="inlineStr">
        <is>
          <t>Pinterest</t>
        </is>
      </c>
      <c r="E19" s="7" t="inlineStr">
        <is>
          <t>Nico</t>
        </is>
      </c>
      <c r="F19" s="7" t="inlineStr"/>
      <c r="G19" s="7" t="inlineStr">
        <is>
          <t>Image pin: before/after</t>
        </is>
      </c>
      <c r="H19" s="8" t="inlineStr">
        <is>
          <t>▶ Open file</t>
        </is>
      </c>
      <c r="I19" s="7" t="inlineStr">
        <is>
          <t>In that day's CAPTIONS.md / POST-TODAY.md</t>
        </is>
      </c>
      <c r="J19" s="7" t="inlineStr">
        <is>
          <t>campaigns/2026-10-06/pinterest/1-nico-pin-before-after.png</t>
        </is>
      </c>
      <c r="K19" s="6" t="inlineStr">
        <is>
          <t>Planned</t>
        </is>
      </c>
      <c r="L19" s="6" t="inlineStr"/>
      <c r="M19" s="6" t="inlineStr"/>
    </row>
    <row r="20" ht="135" customHeight="1">
      <c r="A20" s="4" t="inlineStr">
        <is>
          <t>2026-10-07</t>
        </is>
      </c>
      <c r="B20" s="4" t="inlineStr">
        <is>
          <t>Wed</t>
        </is>
      </c>
      <c r="C20" s="4" t="inlineStr">
        <is>
          <t>19:00</t>
        </is>
      </c>
      <c r="D20" s="4" t="inlineStr">
        <is>
          <t>IG + FB</t>
        </is>
      </c>
      <c r="E20" s="4" t="inlineStr">
        <is>
          <t>Nico</t>
        </is>
      </c>
      <c r="F20" s="4" t="inlineStr"/>
      <c r="G20" s="4" t="inlineStr">
        <is>
          <t>Reel: bedtime story PART 3 (the end)</t>
        </is>
      </c>
      <c r="H20" s="5" t="inlineStr">
        <is>
          <t>▶ Open file</t>
        </is>
      </c>
      <c r="I20" s="4" t="inlineStr">
        <is>
          <t>Bedtime story: Nico's Snowy Day, the end 🌙🦌 After the best snowman ever, Mama tucks Nico into his warm bed. Goodnight, Nico! The whole story is a Christmas coloring book kids color AND read, ages 3-6.
Get it on Amazon: https://www.amazon.com/dp/B0HLVTTK7T (Instagram: link in bio)
#bedtimestory #christmascoloring #kidsbooks #storytime #toddleractivities</t>
        </is>
      </c>
      <c r="J20" s="4" t="inlineStr">
        <is>
          <t>Story with link after posting  |  campaigns/2026-10-07/1-nico-story-part3.mp4</t>
        </is>
      </c>
      <c r="K20" s="6" t="inlineStr">
        <is>
          <t>Planned</t>
        </is>
      </c>
      <c r="L20" s="6" t="inlineStr"/>
      <c r="M20" s="6" t="inlineStr"/>
    </row>
    <row r="21" ht="135" customHeight="1">
      <c r="A21" s="4" t="inlineStr">
        <is>
          <t>2026-10-07</t>
        </is>
      </c>
      <c r="B21" s="4" t="inlineStr">
        <is>
          <t>Wed</t>
        </is>
      </c>
      <c r="C21" s="4" t="inlineStr">
        <is>
          <t>19:00</t>
        </is>
      </c>
      <c r="D21" s="4" t="inlineStr">
        <is>
          <t>TikTok</t>
        </is>
      </c>
      <c r="E21" s="4" t="inlineStr">
        <is>
          <t>Nico</t>
        </is>
      </c>
      <c r="F21" s="4" t="inlineStr"/>
      <c r="G21" s="4" t="inlineStr">
        <is>
          <t>Video: bedtime story part 2</t>
        </is>
      </c>
      <c r="H21" s="5" t="inlineStr">
        <is>
          <t>▶ Open file</t>
        </is>
      </c>
      <c r="I21" s="4" t="inlineStr">
        <is>
          <t>Christmas bedtime story for kids: Nico's Snowy Day, part 2 ⛄ What did Nico and Tilly build? Part 3 tomorrow, follow so you don't miss it! Link in bio
#bedtimestory #christmascoloring #kidsbooks #storytime #toddleractivities</t>
        </is>
      </c>
      <c r="J21" s="4" t="inlineStr">
        <is>
          <t>Pin comment: Did you guess it was a snowman? ⛄👇  |  campaigns/2026-10-07/2-nico-story-part2.mp4</t>
        </is>
      </c>
      <c r="K21" s="6" t="inlineStr">
        <is>
          <t>Planned</t>
        </is>
      </c>
      <c r="L21" s="6" t="inlineStr"/>
      <c r="M21" s="6" t="inlineStr"/>
    </row>
    <row r="22" ht="135" customHeight="1">
      <c r="A22" s="4" t="inlineStr">
        <is>
          <t>2026-10-07</t>
        </is>
      </c>
      <c r="B22" s="4" t="inlineStr">
        <is>
          <t>Wed</t>
        </is>
      </c>
      <c r="C22" s="4" t="inlineStr">
        <is>
          <t>19:00</t>
        </is>
      </c>
      <c r="D22" s="4" t="inlineStr">
        <is>
          <t>YouTube Shorts</t>
        </is>
      </c>
      <c r="E22" s="4" t="inlineStr">
        <is>
          <t>Nico</t>
        </is>
      </c>
      <c r="F22" s="4" t="inlineStr"/>
      <c r="G22" s="4" t="inlineStr">
        <is>
          <t>Short: bedtime story part 2</t>
        </is>
      </c>
      <c r="H22" s="5" t="inlineStr">
        <is>
          <t>▶ Open file</t>
        </is>
      </c>
      <c r="I22" s="4" t="inlineStr">
        <is>
          <t>TITLE:
Christmas bedtime story for kids: Nico's Snowy Day, part 2 ⛄ #shorts #storytime
DESCRIPTION:
Nico and Tilly build something big in the snow! Part 3 tomorrow. The whole story is a color &amp; read Christmas book for kids ages 3-6.
Get it on Amazon: https://www.amazon.com/dp/B0HLVTTK7T
#bedtimestory #christmascoloring #kidsbooks</t>
        </is>
      </c>
      <c r="J22" s="4" t="inlineStr">
        <is>
          <t>Not made for kids  |  campaigns/2026-10-07/2-nico-story-part2.mp4</t>
        </is>
      </c>
      <c r="K22" s="6" t="inlineStr">
        <is>
          <t>Planned</t>
        </is>
      </c>
      <c r="L22" s="6" t="inlineStr"/>
      <c r="M22" s="6" t="inlineStr"/>
    </row>
    <row r="23" ht="135" customHeight="1">
      <c r="A23" s="4" t="inlineStr">
        <is>
          <t>2026-10-07</t>
        </is>
      </c>
      <c r="B23" s="4" t="inlineStr">
        <is>
          <t>Wed</t>
        </is>
      </c>
      <c r="C23" s="4" t="inlineStr">
        <is>
          <t>21:00</t>
        </is>
      </c>
      <c r="D23" s="4" t="inlineStr">
        <is>
          <t>TikTok</t>
        </is>
      </c>
      <c r="E23" s="4" t="inlineStr">
        <is>
          <t>Benny</t>
        </is>
      </c>
      <c r="F23" s="4" t="inlineStr"/>
      <c r="G23" s="4" t="inlineStr">
        <is>
          <t>Video: guess the colors (kite)</t>
        </is>
      </c>
      <c r="H23" s="5" t="inlineStr">
        <is>
          <t>▶ Open file</t>
        </is>
      </c>
      <c r="I23" s="4" t="inlineStr">
        <is>
          <t>Coloring page for kids: guess the colors before the end 🪁🧸 Benny and Bella fly a kite. Kids color every page AND read the sentence. Ages 3-6, best with crayons. Link in bio
#coloringbook #colorwithme #satisfying #toddleractivities #screenfree</t>
        </is>
      </c>
      <c r="J23" s="4" t="inlineStr">
        <is>
          <t>Pin comment: What color did you guess for the kite? 👇  |  campaigns/2026-10-07/3-benny-guess-kite.mp4</t>
        </is>
      </c>
      <c r="K23" s="6" t="inlineStr">
        <is>
          <t>Planned</t>
        </is>
      </c>
      <c r="L23" s="6" t="inlineStr"/>
      <c r="M23" s="6" t="inlineStr"/>
    </row>
    <row r="24" ht="135" customHeight="1">
      <c r="A24" s="4" t="inlineStr">
        <is>
          <t>2026-10-07</t>
        </is>
      </c>
      <c r="B24" s="4" t="inlineStr">
        <is>
          <t>Wed</t>
        </is>
      </c>
      <c r="C24" s="4" t="inlineStr">
        <is>
          <t>21:00</t>
        </is>
      </c>
      <c r="D24" s="4" t="inlineStr">
        <is>
          <t>IG + FB</t>
        </is>
      </c>
      <c r="E24" s="4" t="inlineStr">
        <is>
          <t>Benny</t>
        </is>
      </c>
      <c r="F24" s="4" t="inlineStr"/>
      <c r="G24" s="4" t="inlineStr">
        <is>
          <t>Reel: guess the colors (kite)</t>
        </is>
      </c>
      <c r="H24" s="5" t="inlineStr">
        <is>
          <t>▶ Open file</t>
        </is>
      </c>
      <c r="I24" s="4" t="inlineStr">
        <is>
          <t>Guess the colors before the end! 🪁🧸 Benny and Bella fly a kite high up in the sky. Kids color every page AND read the short sentence. Ages 3-6.
Get it on Amazon: https://www.amazon.com/dp/B0HLVSLXK7 (Instagram: link in bio)
#coloringbook #kidsactivities #screenfree #toddleractivities</t>
        </is>
      </c>
      <c r="J24" s="4" t="inlineStr">
        <is>
          <t>campaigns/2026-10-07/3-benny-guess-kite.mp4</t>
        </is>
      </c>
      <c r="K24" s="6" t="inlineStr">
        <is>
          <t>Planned</t>
        </is>
      </c>
      <c r="L24" s="6" t="inlineStr"/>
      <c r="M24" s="6" t="inlineStr"/>
    </row>
    <row r="25" ht="135" customHeight="1">
      <c r="A25" s="4" t="inlineStr">
        <is>
          <t>2026-10-07</t>
        </is>
      </c>
      <c r="B25" s="4" t="inlineStr">
        <is>
          <t>Wed</t>
        </is>
      </c>
      <c r="C25" s="4" t="inlineStr">
        <is>
          <t>21:00</t>
        </is>
      </c>
      <c r="D25" s="4" t="inlineStr">
        <is>
          <t>YouTube Shorts</t>
        </is>
      </c>
      <c r="E25" s="4" t="inlineStr">
        <is>
          <t>Benny</t>
        </is>
      </c>
      <c r="F25" s="4" t="inlineStr"/>
      <c r="G25" s="4" t="inlineStr">
        <is>
          <t>Short: guess the colors (kite)</t>
        </is>
      </c>
      <c r="H25" s="5" t="inlineStr">
        <is>
          <t>▶ Open file</t>
        </is>
      </c>
      <c r="I25" s="4" t="inlineStr">
        <is>
          <t>TITLE:
Guess the colors before the end! 🪁 #shorts #coloringbook
DESCRIPTION:
Benny the Bear's Cozy Day: a color &amp; read story book for kids ages 3-6.
Get it on Amazon: https://www.amazon.com/dp/B0HLVSLXK7
#coloringbook #kidsactivities #satisfying</t>
        </is>
      </c>
      <c r="J25" s="4" t="inlineStr">
        <is>
          <t>Not made for kids  |  campaigns/2026-10-07/3-yt-benny-guess-kite.mp4</t>
        </is>
      </c>
      <c r="K25" s="6" t="inlineStr">
        <is>
          <t>Planned</t>
        </is>
      </c>
      <c r="L25" s="6" t="inlineStr"/>
      <c r="M25" s="6" t="inlineStr"/>
    </row>
    <row r="26" ht="135" customHeight="1">
      <c r="A26" s="4" t="inlineStr">
        <is>
          <t>2026-10-07</t>
        </is>
      </c>
      <c r="B26" s="4" t="inlineStr">
        <is>
          <t>Wed</t>
        </is>
      </c>
      <c r="C26" s="4" t="inlineStr">
        <is>
          <t>any</t>
        </is>
      </c>
      <c r="D26" s="4" t="inlineStr">
        <is>
          <t>Pinterest</t>
        </is>
      </c>
      <c r="E26" s="4" t="inlineStr">
        <is>
          <t>Benny</t>
        </is>
      </c>
      <c r="F26" s="4" t="inlineStr"/>
      <c r="G26" s="4" t="inlineStr">
        <is>
          <t>Image pin: before/after</t>
        </is>
      </c>
      <c r="H26" s="5" t="inlineStr">
        <is>
          <t>▶ Open file</t>
        </is>
      </c>
      <c r="I26" s="4" t="inlineStr">
        <is>
          <t>TITLE: Cute Bear Coloring Pages for Kids 3-6: Big Easy Pages
DESCRIPTION: Before and after: a cute bear coloring page. Benny the Bear's Cozy Day is a color and read story book for ages 3-6. Quiet time activity before bed.
DESTINATION LINK: https://www.amazon.com/dp/B0HLVSLXK7
BOARD: Cozy Animal Stories</t>
        </is>
      </c>
      <c r="J26" s="4" t="inlineStr">
        <is>
          <t>campaigns/2026-10-07/4-pin-benny-before-after.png</t>
        </is>
      </c>
      <c r="K26" s="6" t="inlineStr">
        <is>
          <t>Planned</t>
        </is>
      </c>
      <c r="L26" s="6" t="inlineStr"/>
      <c r="M26" s="6" t="inlineStr"/>
    </row>
    <row r="27" ht="135" customHeight="1">
      <c r="A27" s="7" t="inlineStr">
        <is>
          <t>2026-10-08</t>
        </is>
      </c>
      <c r="B27" s="7" t="inlineStr">
        <is>
          <t>Thu</t>
        </is>
      </c>
      <c r="C27" s="7" t="inlineStr">
        <is>
          <t>19:00</t>
        </is>
      </c>
      <c r="D27" s="7" t="inlineStr">
        <is>
          <t>IG + FB</t>
        </is>
      </c>
      <c r="E27" s="7" t="inlineStr">
        <is>
          <t>Nico</t>
        </is>
      </c>
      <c r="F27" s="7" t="inlineStr"/>
      <c r="G27" s="7" t="inlineStr">
        <is>
          <t>Reel: 30 minutes. Zero screens.</t>
        </is>
      </c>
      <c r="H27" s="8" t="inlineStr">
        <is>
          <t>▶ Open file</t>
        </is>
      </c>
      <c r="I27" s="7" t="inlineStr">
        <is>
          <t>30 minutes. Zero screens. 🎄 If you have a 3-6 year old, try this instead of the tablet: a Christmas story they color AND read. Send this to a parent who needs a quiet hour 💛
Get it on Amazon: https://www.amazon.com/dp/B0HLVTTK7T (Instagram: link in bio)
#screenfree #toddleractivities #christmascoloring #coloringbook #kidsactivities</t>
        </is>
      </c>
      <c r="J27" s="7" t="inlineStr">
        <is>
          <t>Story with link  |  campaigns/2026-10-08/1-nico-screenfree.mp4</t>
        </is>
      </c>
      <c r="K27" s="6" t="inlineStr">
        <is>
          <t>Planned</t>
        </is>
      </c>
      <c r="L27" s="6" t="inlineStr"/>
      <c r="M27" s="6" t="inlineStr"/>
    </row>
    <row r="28" ht="135" customHeight="1">
      <c r="A28" s="7" t="inlineStr">
        <is>
          <t>2026-10-08</t>
        </is>
      </c>
      <c r="B28" s="7" t="inlineStr">
        <is>
          <t>Thu</t>
        </is>
      </c>
      <c r="C28" s="7" t="inlineStr">
        <is>
          <t>19:00</t>
        </is>
      </c>
      <c r="D28" s="7" t="inlineStr">
        <is>
          <t>TikTok</t>
        </is>
      </c>
      <c r="E28" s="7" t="inlineStr">
        <is>
          <t>Nico</t>
        </is>
      </c>
      <c r="F28" s="7" t="inlineStr"/>
      <c r="G28" s="7" t="inlineStr">
        <is>
          <t>Video: bedtime story part 3 (the end)</t>
        </is>
      </c>
      <c r="H28" s="8" t="inlineStr">
        <is>
          <t>▶ Open file</t>
        </is>
      </c>
      <c r="I28" s="7" t="inlineStr">
        <is>
          <t>Christmas bedtime story for kids: Nico's Snowy Day, the end 🌙 Goodnight, Nico! The whole story is a coloring book kids color AND read. Link in bio
#bedtimestory #christmascoloring #kidsbooks #storytime #toddleractivities</t>
        </is>
      </c>
      <c r="J28" s="7" t="inlineStr">
        <is>
          <t>campaigns/2026-10-08/2-nico-story-part3.mp4</t>
        </is>
      </c>
      <c r="K28" s="6" t="inlineStr">
        <is>
          <t>Planned</t>
        </is>
      </c>
      <c r="L28" s="6" t="inlineStr"/>
      <c r="M28" s="6" t="inlineStr"/>
    </row>
    <row r="29" ht="135" customHeight="1">
      <c r="A29" s="7" t="inlineStr">
        <is>
          <t>2026-10-08</t>
        </is>
      </c>
      <c r="B29" s="7" t="inlineStr">
        <is>
          <t>Thu</t>
        </is>
      </c>
      <c r="C29" s="7" t="inlineStr">
        <is>
          <t>19:00</t>
        </is>
      </c>
      <c r="D29" s="7" t="inlineStr">
        <is>
          <t>YouTube Shorts</t>
        </is>
      </c>
      <c r="E29" s="7" t="inlineStr">
        <is>
          <t>Nico</t>
        </is>
      </c>
      <c r="F29" s="7" t="inlineStr"/>
      <c r="G29" s="7" t="inlineStr">
        <is>
          <t>Short: bedtime story part 3 (the end)</t>
        </is>
      </c>
      <c r="H29" s="8" t="inlineStr">
        <is>
          <t>▶ Open file</t>
        </is>
      </c>
      <c r="I29" s="7" t="inlineStr">
        <is>
          <t>TITLE:
Christmas bedtime story for kids: Nico's Snowy Day, the end 🌙 #shorts #storytime
DESCRIPTION:
Goodnight, Nico! The whole story is a color &amp; read Christmas book for kids ages 3-6.
Get it on Amazon: https://www.amazon.com/dp/B0HLVTTK7T
#bedtimestory #christmascoloring #kidsbooks</t>
        </is>
      </c>
      <c r="J29" s="7" t="inlineStr">
        <is>
          <t>Not made for kids  |  campaigns/2026-10-08/2-nico-story-part3.mp4</t>
        </is>
      </c>
      <c r="K29" s="6" t="inlineStr">
        <is>
          <t>Planned</t>
        </is>
      </c>
      <c r="L29" s="6" t="inlineStr"/>
      <c r="M29" s="6" t="inlineStr"/>
    </row>
    <row r="30" ht="135" customHeight="1">
      <c r="A30" s="7" t="inlineStr">
        <is>
          <t>2026-10-08</t>
        </is>
      </c>
      <c r="B30" s="7" t="inlineStr">
        <is>
          <t>Thu</t>
        </is>
      </c>
      <c r="C30" s="7" t="inlineStr">
        <is>
          <t>20:00</t>
        </is>
      </c>
      <c r="D30" s="7" t="inlineStr">
        <is>
          <t>IG + FB + TikTok</t>
        </is>
      </c>
      <c r="E30" s="7" t="inlineStr">
        <is>
          <t>Benny</t>
        </is>
      </c>
      <c r="F30" s="7" t="inlineStr"/>
      <c r="G30" s="7" t="inlineStr">
        <is>
          <t>Photo carousel (6 slides): gift</t>
        </is>
      </c>
      <c r="H30" s="8" t="inlineStr">
        <is>
          <t>📁 Open slides folder</t>
        </is>
      </c>
      <c r="I30" s="7" t="inlineStr">
        <is>
          <t>Birthday gift idea for kids 3-6 🎁 A story they color AND read: Benny the Bear's Cozy Day. Big pictures, big letters. Swipe to peek inside 👉
Get it on Amazon: https://www.amazon.com/dp/B0HLVSLXK7 (Instagram: link in bio)
#giftsforkids #birthdaygift #coloringbook #kidsactivities</t>
        </is>
      </c>
      <c r="J30" s="7" t="inlineStr">
        <is>
          <t>Post slides 1 to 6 in order. TikTok: photo post + calm sound, caption ends 'Link in bio'  |  campaigns/2026-10-08/3-benny-gift-carousel</t>
        </is>
      </c>
      <c r="K30" s="6" t="inlineStr">
        <is>
          <t>Planned</t>
        </is>
      </c>
      <c r="L30" s="6" t="inlineStr"/>
      <c r="M30" s="6" t="inlineStr"/>
    </row>
    <row r="31" ht="135" customHeight="1">
      <c r="A31" s="7" t="inlineStr">
        <is>
          <t>2026-10-08</t>
        </is>
      </c>
      <c r="B31" s="7" t="inlineStr">
        <is>
          <t>Thu</t>
        </is>
      </c>
      <c r="C31" s="7" t="inlineStr">
        <is>
          <t>21:00</t>
        </is>
      </c>
      <c r="D31" s="7" t="inlineStr">
        <is>
          <t>TikTok</t>
        </is>
      </c>
      <c r="E31" s="7" t="inlineStr">
        <is>
          <t>Benny</t>
        </is>
      </c>
      <c r="F31" s="7" t="inlineStr"/>
      <c r="G31" s="7" t="inlineStr">
        <is>
          <t>Video: can your 4-year-old read this?</t>
        </is>
      </c>
      <c r="H31" s="8" t="inlineStr">
        <is>
          <t>▶ Open file</t>
        </is>
      </c>
      <c r="I31" s="7" t="inlineStr">
        <is>
          <t>Can your 4-year-old read this page? 📖 One big picture + one short sentence on every page, so kids color it AND read it. Link in bio
#learningtoread #preschoolathome #toddleractivities #coloringbook #bedtimestory</t>
        </is>
      </c>
      <c r="J31" s="7" t="inlineStr">
        <is>
          <t>campaigns/2026-10-08/4-benny-can-they-read.mp4</t>
        </is>
      </c>
      <c r="K31" s="6" t="inlineStr">
        <is>
          <t>Planned</t>
        </is>
      </c>
      <c r="L31" s="6" t="inlineStr"/>
      <c r="M31" s="6" t="inlineStr"/>
    </row>
    <row r="32" ht="135" customHeight="1">
      <c r="A32" s="7" t="inlineStr">
        <is>
          <t>2026-10-08</t>
        </is>
      </c>
      <c r="B32" s="7" t="inlineStr">
        <is>
          <t>Thu</t>
        </is>
      </c>
      <c r="C32" s="7" t="inlineStr">
        <is>
          <t>21:00</t>
        </is>
      </c>
      <c r="D32" s="7" t="inlineStr">
        <is>
          <t>IG + FB</t>
        </is>
      </c>
      <c r="E32" s="7" t="inlineStr">
        <is>
          <t>Benny</t>
        </is>
      </c>
      <c r="F32" s="7" t="inlineStr"/>
      <c r="G32" s="7" t="inlineStr">
        <is>
          <t>Reel: can your 4-year-old read this?</t>
        </is>
      </c>
      <c r="H32" s="8" t="inlineStr">
        <is>
          <t>▶ Open file</t>
        </is>
      </c>
      <c r="I32" s="7" t="inlineStr">
        <is>
          <t>Can your 4-year-old read this page? 📖 Every page: one big picture to color + one short sentence in big letters. Color it, then read it together.
Get it on Amazon: https://www.amazon.com/dp/B0HLVSLXK7 (Instagram: link in bio)
#learningtoread #preschoolathome #toddleractivities</t>
        </is>
      </c>
      <c r="J32" s="7" t="inlineStr">
        <is>
          <t>campaigns/2026-10-08/4-benny-can-they-read.mp4</t>
        </is>
      </c>
      <c r="K32" s="6" t="inlineStr">
        <is>
          <t>Planned</t>
        </is>
      </c>
      <c r="L32" s="6" t="inlineStr"/>
      <c r="M32" s="6" t="inlineStr"/>
    </row>
    <row r="33" ht="135" customHeight="1">
      <c r="A33" s="7" t="inlineStr">
        <is>
          <t>2026-10-08</t>
        </is>
      </c>
      <c r="B33" s="7" t="inlineStr">
        <is>
          <t>Thu</t>
        </is>
      </c>
      <c r="C33" s="7" t="inlineStr">
        <is>
          <t>21:00</t>
        </is>
      </c>
      <c r="D33" s="7" t="inlineStr">
        <is>
          <t>YouTube Shorts</t>
        </is>
      </c>
      <c r="E33" s="7" t="inlineStr">
        <is>
          <t>Benny</t>
        </is>
      </c>
      <c r="F33" s="7" t="inlineStr"/>
      <c r="G33" s="7" t="inlineStr">
        <is>
          <t>Short: guess the colors (hide and seek)</t>
        </is>
      </c>
      <c r="H33" s="8" t="inlineStr">
        <is>
          <t>▶ Open file</t>
        </is>
      </c>
      <c r="I33" s="7" t="inlineStr">
        <is>
          <t>TITLE:
Guess the colors: hide and seek with Benny 🐻 #shorts #coloringbook
DESCRIPTION:
Benny the Bear's Cozy Day: a color &amp; read story book for kids ages 3-6.
Get it on Amazon: https://www.amazon.com/dp/B0HLVSLXK7
#coloringbook #kidsactivities #satisfying</t>
        </is>
      </c>
      <c r="J33" s="7" t="inlineStr">
        <is>
          <t>Not made for kids  |  campaigns/2026-10-08/5-yt-benny-guess-hide.mp4</t>
        </is>
      </c>
      <c r="K33" s="6" t="inlineStr">
        <is>
          <t>Planned</t>
        </is>
      </c>
      <c r="L33" s="6" t="inlineStr"/>
      <c r="M33" s="6" t="inlineStr"/>
    </row>
    <row r="34" ht="135" customHeight="1">
      <c r="A34" s="7" t="inlineStr">
        <is>
          <t>2026-10-08</t>
        </is>
      </c>
      <c r="B34" s="7" t="inlineStr">
        <is>
          <t>Thu</t>
        </is>
      </c>
      <c r="C34" s="7" t="inlineStr">
        <is>
          <t>any</t>
        </is>
      </c>
      <c r="D34" s="7" t="inlineStr">
        <is>
          <t>Pinterest</t>
        </is>
      </c>
      <c r="E34" s="7" t="inlineStr">
        <is>
          <t>Nico</t>
        </is>
      </c>
      <c r="F34" s="7" t="inlineStr"/>
      <c r="G34" s="7" t="inlineStr">
        <is>
          <t>Image pin: inside pages</t>
        </is>
      </c>
      <c r="H34" s="8" t="inlineStr">
        <is>
          <t>▶ Open file</t>
        </is>
      </c>
      <c r="I34" s="7" t="inlineStr">
        <is>
          <t>TITLE: Easy Christmas Coloring Pages for Kids: Color + Read
DESCRIPTION: Inside Nico the Little Reindeer's Snowy Day: big, easy winter coloring pages with one short sentence each. For kids ages 3-6.
DESTINATION LINK: https://www.amazon.com/dp/B0HLVTTK7T
BOARD: Christmas Gifts for Kids</t>
        </is>
      </c>
      <c r="J34" s="7" t="inlineStr">
        <is>
          <t>campaigns/2026-10-08/6-pin-nico-pages.png</t>
        </is>
      </c>
      <c r="K34" s="6" t="inlineStr">
        <is>
          <t>Planned</t>
        </is>
      </c>
      <c r="L34" s="6" t="inlineStr"/>
      <c r="M34" s="6" t="inlineStr"/>
    </row>
    <row r="35" ht="135" customHeight="1">
      <c r="A35" s="4" t="inlineStr">
        <is>
          <t>2026-10-09</t>
        </is>
      </c>
      <c r="B35" s="4" t="inlineStr">
        <is>
          <t>Fri</t>
        </is>
      </c>
      <c r="C35" s="4" t="inlineStr">
        <is>
          <t>19:00</t>
        </is>
      </c>
      <c r="D35" s="4" t="inlineStr">
        <is>
          <t>TikTok</t>
        </is>
      </c>
      <c r="E35" s="4" t="inlineStr">
        <is>
          <t>Nico</t>
        </is>
      </c>
      <c r="F35" s="4" t="inlineStr"/>
      <c r="G35" s="4" t="inlineStr">
        <is>
          <t>Video: guess the colors (snowman scarf)</t>
        </is>
      </c>
      <c r="H35" s="5" t="inlineStr">
        <is>
          <t>▶ Open file</t>
        </is>
      </c>
      <c r="I35" s="4" t="inlineStr">
        <is>
          <t>Christmas coloring book for kids: guess the colors before the end ⛄🖍️ Nico gives the snowman his red scarf. Link in bio
#christmascoloring #coloringbook #colorwithme #toddleractivities #stockingstuffers</t>
        </is>
      </c>
      <c r="J35" s="4" t="inlineStr">
        <is>
          <t>Pin comment: What color did you guess for the scarf? 👇  |  campaigns/2026-10-09/1-nico-guess-scarf.mp4</t>
        </is>
      </c>
      <c r="K35" s="6" t="inlineStr">
        <is>
          <t>Planned</t>
        </is>
      </c>
      <c r="L35" s="6" t="inlineStr"/>
      <c r="M35" s="6" t="inlineStr"/>
    </row>
    <row r="36" ht="135" customHeight="1">
      <c r="A36" s="4" t="inlineStr">
        <is>
          <t>2026-10-09</t>
        </is>
      </c>
      <c r="B36" s="4" t="inlineStr">
        <is>
          <t>Fri</t>
        </is>
      </c>
      <c r="C36" s="4" t="inlineStr">
        <is>
          <t>19:00</t>
        </is>
      </c>
      <c r="D36" s="4" t="inlineStr">
        <is>
          <t>IG + FB</t>
        </is>
      </c>
      <c r="E36" s="4" t="inlineStr">
        <is>
          <t>Nico</t>
        </is>
      </c>
      <c r="F36" s="4" t="inlineStr"/>
      <c r="G36" s="4" t="inlineStr">
        <is>
          <t>Reel: guess the colors (snowman scarf)</t>
        </is>
      </c>
      <c r="H36" s="5" t="inlineStr">
        <is>
          <t>▶ Open file</t>
        </is>
      </c>
      <c r="I36" s="4" t="inlineStr">
        <is>
          <t>Guess the colors before the end! ⛄🖍️ Nico gives the snowman his red scarf. Kids color every page AND read the short sentence. A stocking stuffer that isn't candy, ages 3-6.
Get it on Amazon: https://www.amazon.com/dp/B0HLVTTK7T (Instagram: link in bio)
#christmascoloring #coloringbook #stockingstuffers</t>
        </is>
      </c>
      <c r="J36" s="4" t="inlineStr">
        <is>
          <t>Story with link  |  campaigns/2026-10-09/1-nico-guess-scarf.mp4</t>
        </is>
      </c>
      <c r="K36" s="6" t="inlineStr">
        <is>
          <t>Planned</t>
        </is>
      </c>
      <c r="L36" s="6" t="inlineStr"/>
      <c r="M36" s="6" t="inlineStr"/>
    </row>
    <row r="37" ht="135" customHeight="1">
      <c r="A37" s="4" t="inlineStr">
        <is>
          <t>2026-10-09</t>
        </is>
      </c>
      <c r="B37" s="4" t="inlineStr">
        <is>
          <t>Fri</t>
        </is>
      </c>
      <c r="C37" s="4" t="inlineStr">
        <is>
          <t>19:00</t>
        </is>
      </c>
      <c r="D37" s="4" t="inlineStr">
        <is>
          <t>YouTube Shorts</t>
        </is>
      </c>
      <c r="E37" s="4" t="inlineStr">
        <is>
          <t>Nico</t>
        </is>
      </c>
      <c r="F37" s="4" t="inlineStr"/>
      <c r="G37" s="4" t="inlineStr">
        <is>
          <t>Short: guess the colors (snowman scarf)</t>
        </is>
      </c>
      <c r="H37" s="5" t="inlineStr">
        <is>
          <t>▶ Open file</t>
        </is>
      </c>
      <c r="I37" s="4" t="inlineStr">
        <is>
          <t>TITLE:
Christmas coloring page: guess the colors! ⛄ #shorts #coloringbook
DESCRIPTION:
Nico the Little Reindeer's Snowy Day: a color &amp; read Christmas story book for kids ages 3-6.
Get it on Amazon: https://www.amazon.com/dp/B0HLVTTK7T
#christmascoloring #coloringbook #stockingstuffers</t>
        </is>
      </c>
      <c r="J37" s="4" t="inlineStr">
        <is>
          <t>Not made for kids  |  campaigns/2026-10-09/1-yt-nico-guess-scarf.mp4</t>
        </is>
      </c>
      <c r="K37" s="6" t="inlineStr">
        <is>
          <t>Planned</t>
        </is>
      </c>
      <c r="L37" s="6" t="inlineStr"/>
      <c r="M37" s="6" t="inlineStr"/>
    </row>
    <row r="38" ht="135" customHeight="1">
      <c r="A38" s="4" t="inlineStr">
        <is>
          <t>2026-10-09</t>
        </is>
      </c>
      <c r="B38" s="4" t="inlineStr">
        <is>
          <t>Fri</t>
        </is>
      </c>
      <c r="C38" s="4" t="inlineStr">
        <is>
          <t>21:00</t>
        </is>
      </c>
      <c r="D38" s="4" t="inlineStr">
        <is>
          <t>TikTok</t>
        </is>
      </c>
      <c r="E38" s="4" t="inlineStr">
        <is>
          <t>Nico</t>
        </is>
      </c>
      <c r="F38" s="4" t="inlineStr"/>
      <c r="G38" s="4" t="inlineStr">
        <is>
          <t>Video: 30 minutes. Zero screens.</t>
        </is>
      </c>
      <c r="H38" s="5" t="inlineStr">
        <is>
          <t>▶ Open file</t>
        </is>
      </c>
      <c r="I38" s="4" t="inlineStr">
        <is>
          <t>30 minutes. Zero screens. 🎄 If you have a 3-6 year old, try this instead of the tablet: a Christmas story they color AND read. Link in bio
#screenfree #toddleractivities #christmascoloring #coloringbook #momlife</t>
        </is>
      </c>
      <c r="J38" s="4" t="inlineStr">
        <is>
          <t>campaigns/2026-10-09/2-nico-screenfree.mp4</t>
        </is>
      </c>
      <c r="K38" s="6" t="inlineStr">
        <is>
          <t>Planned</t>
        </is>
      </c>
      <c r="L38" s="6" t="inlineStr"/>
      <c r="M38" s="6" t="inlineStr"/>
    </row>
    <row r="39" ht="135" customHeight="1">
      <c r="A39" s="4" t="inlineStr">
        <is>
          <t>2026-10-09</t>
        </is>
      </c>
      <c r="B39" s="4" t="inlineStr">
        <is>
          <t>Fri</t>
        </is>
      </c>
      <c r="C39" s="4" t="inlineStr">
        <is>
          <t>21:00</t>
        </is>
      </c>
      <c r="D39" s="4" t="inlineStr">
        <is>
          <t>YouTube Shorts</t>
        </is>
      </c>
      <c r="E39" s="4" t="inlineStr">
        <is>
          <t>Nico</t>
        </is>
      </c>
      <c r="F39" s="4" t="inlineStr"/>
      <c r="G39" s="4" t="inlineStr">
        <is>
          <t>Short: 30 minutes. Zero screens.</t>
        </is>
      </c>
      <c r="H39" s="5" t="inlineStr">
        <is>
          <t>▶ Open file</t>
        </is>
      </c>
      <c r="I39" s="4" t="inlineStr">
        <is>
          <t>TITLE:
30 minutes. Zero screens. Try this instead of the tablet 🎄 #shorts #screenfree
DESCRIPTION:
A Christmas story kids ages 3-6 color AND read: Nico the Little Reindeer's Snowy Day.
Get it on Amazon: https://www.amazon.com/dp/B0HLVTTK7T
#screenfree #christmascoloring #kidsactivities</t>
        </is>
      </c>
      <c r="J39" s="4" t="inlineStr">
        <is>
          <t>Not made for kids  |  campaigns/2026-10-09/2-nico-screenfree.mp4</t>
        </is>
      </c>
      <c r="K39" s="6" t="inlineStr">
        <is>
          <t>Planned</t>
        </is>
      </c>
      <c r="L39" s="6" t="inlineStr"/>
      <c r="M39" s="6" t="inlineStr"/>
    </row>
    <row r="40" ht="135" customHeight="1">
      <c r="A40" s="4" t="inlineStr">
        <is>
          <t>2026-10-09</t>
        </is>
      </c>
      <c r="B40" s="4" t="inlineStr">
        <is>
          <t>Fri</t>
        </is>
      </c>
      <c r="C40" s="4" t="inlineStr">
        <is>
          <t>21:00</t>
        </is>
      </c>
      <c r="D40" s="4" t="inlineStr">
        <is>
          <t>IG + FB</t>
        </is>
      </c>
      <c r="E40" s="4" t="inlineStr">
        <is>
          <t>Benny</t>
        </is>
      </c>
      <c r="F40" s="4" t="inlineStr"/>
      <c r="G40" s="4" t="inlineStr">
        <is>
          <t>Reel: guess the colors (hide and seek)</t>
        </is>
      </c>
      <c r="H40" s="5" t="inlineStr">
        <is>
          <t>▶ Open file</t>
        </is>
      </c>
      <c r="I40" s="4" t="inlineStr">
        <is>
          <t>Guess the colors before the end! 🐻🐰 Benny and Bella play hide and seek. Kids color every page AND read the story. Ages 3-6.
Get it on Amazon: https://www.amazon.com/dp/B0HLVSLXK7 (Instagram: link in bio)
#coloringbook #kidsactivities #screenfree #colorwithme</t>
        </is>
      </c>
      <c r="J40" s="4" t="inlineStr">
        <is>
          <t>campaigns/2026-10-09/3-benny-guess-hide.mp4</t>
        </is>
      </c>
      <c r="K40" s="6" t="inlineStr">
        <is>
          <t>Planned</t>
        </is>
      </c>
      <c r="L40" s="6" t="inlineStr"/>
      <c r="M40" s="6" t="inlineStr"/>
    </row>
    <row r="41" ht="135" customHeight="1">
      <c r="A41" s="4" t="inlineStr">
        <is>
          <t>2026-10-09</t>
        </is>
      </c>
      <c r="B41" s="4" t="inlineStr">
        <is>
          <t>Fri</t>
        </is>
      </c>
      <c r="C41" s="4" t="inlineStr">
        <is>
          <t>any</t>
        </is>
      </c>
      <c r="D41" s="4" t="inlineStr">
        <is>
          <t>Pinterest</t>
        </is>
      </c>
      <c r="E41" s="4" t="inlineStr">
        <is>
          <t>Nico</t>
        </is>
      </c>
      <c r="F41" s="4" t="inlineStr"/>
      <c r="G41" s="4" t="inlineStr">
        <is>
          <t>Image pin: gift</t>
        </is>
      </c>
      <c r="H41" s="5" t="inlineStr">
        <is>
          <t>▶ Open file</t>
        </is>
      </c>
      <c r="I41" s="4" t="inlineStr">
        <is>
          <t>TITLE: Stocking Stuffer for Toddlers: Reindeer Coloring Story Book
DESCRIPTION: A Christmas gift for kids 3-6 that isn't more plastic: a color and read story book with a cute reindeer.
DESTINATION LINK: https://www.amazon.com/dp/B0HLVTTK7T
BOARD: Stocking Stuffers</t>
        </is>
      </c>
      <c r="J41" s="4" t="inlineStr">
        <is>
          <t>campaigns/2026-10-09/4-pin-nico-gift.png</t>
        </is>
      </c>
      <c r="K41" s="6" t="inlineStr">
        <is>
          <t>Planned</t>
        </is>
      </c>
      <c r="L41" s="6" t="inlineStr"/>
      <c r="M41" s="6" t="inlineStr"/>
    </row>
    <row r="42" ht="135" customHeight="1">
      <c r="A42" s="7" t="inlineStr">
        <is>
          <t>2026-10-10</t>
        </is>
      </c>
      <c r="B42" s="7" t="inlineStr">
        <is>
          <t>Sat</t>
        </is>
      </c>
      <c r="C42" s="7" t="inlineStr">
        <is>
          <t>15:00</t>
        </is>
      </c>
      <c r="D42" s="7" t="inlineStr">
        <is>
          <t>TikTok + IG + FB + YouTube</t>
        </is>
      </c>
      <c r="E42" s="7" t="inlineStr">
        <is>
          <t>Nico</t>
        </is>
      </c>
      <c r="F42" s="7" t="inlineStr"/>
      <c r="G42" s="7" t="inlineStr">
        <is>
          <t>Carousel video: gift (voice)</t>
        </is>
      </c>
      <c r="H42" s="8" t="inlineStr">
        <is>
          <t>▶ Open file</t>
        </is>
      </c>
      <c r="I42" s="7" t="inlineStr">
        <is>
          <t>Stocking stuffer that isn't candy? 🎁🦌 A Christmas coloring book kids color AND read. 29 winter pages, ages 3-6.
Get it on Amazon: https://www.amazon.com/dp/B0HLVTTK7T (Instagram: link in bio)
#stockingstuffers #christmasgifts #coloringbook #giftsforkids</t>
        </is>
      </c>
      <c r="J42" s="7" t="inlineStr">
        <is>
          <t>TikTok: end the caption with 'Link in bio'. YouTube title: Stocking stuffer that isn't candy 🎁 #shorts  |  campaigns/2026-10-10/1-nico-gift-carousel-video.mp4</t>
        </is>
      </c>
      <c r="K42" s="6" t="inlineStr">
        <is>
          <t>Planned</t>
        </is>
      </c>
      <c r="L42" s="6" t="inlineStr"/>
      <c r="M42" s="6" t="inlineStr"/>
    </row>
    <row r="43" ht="135" customHeight="1">
      <c r="A43" s="7" t="inlineStr">
        <is>
          <t>2026-10-10</t>
        </is>
      </c>
      <c r="B43" s="7" t="inlineStr">
        <is>
          <t>Sat</t>
        </is>
      </c>
      <c r="C43" s="7" t="inlineStr">
        <is>
          <t>15:30</t>
        </is>
      </c>
      <c r="D43" s="7" t="inlineStr">
        <is>
          <t>IG + FB + TikTok</t>
        </is>
      </c>
      <c r="E43" s="7" t="inlineStr">
        <is>
          <t>Nico</t>
        </is>
      </c>
      <c r="F43" s="7" t="inlineStr"/>
      <c r="G43" s="7" t="inlineStr">
        <is>
          <t>Photo carousel (6 slides): bedtime story</t>
        </is>
      </c>
      <c r="H43" s="8" t="inlineStr">
        <is>
          <t>📁 Open slides folder</t>
        </is>
      </c>
      <c r="I43" s="7" t="inlineStr">
        <is>
          <t>A bedtime story kids color AND read 🌙🦌 Swipe to peek inside 👉 One big picture and one short sentence on every page. Ages 3-6.
Get it on Amazon: https://www.amazon.com/dp/B0HLVTTK7T (Instagram: link in bio)
#bedtimestory #christmascoloring #coloringbook #kidsbooks</t>
        </is>
      </c>
      <c r="J43" s="7" t="inlineStr">
        <is>
          <t>Slides 1 to 6 in order. TikTok: photo post + calm sound  |  campaigns/2026-10-10/2-nico-story-carousel</t>
        </is>
      </c>
      <c r="K43" s="6" t="inlineStr">
        <is>
          <t>Planned</t>
        </is>
      </c>
      <c r="L43" s="6" t="inlineStr"/>
      <c r="M43" s="6" t="inlineStr"/>
    </row>
    <row r="44" ht="135" customHeight="1">
      <c r="A44" s="7" t="inlineStr">
        <is>
          <t>2026-10-10</t>
        </is>
      </c>
      <c r="B44" s="7" t="inlineStr">
        <is>
          <t>Sat</t>
        </is>
      </c>
      <c r="C44" s="7" t="inlineStr">
        <is>
          <t>16:00</t>
        </is>
      </c>
      <c r="D44" s="7" t="inlineStr">
        <is>
          <t>TikTok</t>
        </is>
      </c>
      <c r="E44" s="7" t="inlineStr">
        <is>
          <t>Benny</t>
        </is>
      </c>
      <c r="F44" s="7" t="inlineStr"/>
      <c r="G44" s="7" t="inlineStr">
        <is>
          <t>Video: guess the colors (butterfly)</t>
        </is>
      </c>
      <c r="H44" s="8" t="inlineStr">
        <is>
          <t>▶ Open file</t>
        </is>
      </c>
      <c r="I44" s="7" t="inlineStr">
        <is>
          <t>Coloring page for kids: guess the colors before the end 🦋🧸 A butterfly lands on Benny's nose. Link in bio
#coloringbook #colorwithme #satisfying #toddleractivities #screenfree</t>
        </is>
      </c>
      <c r="J44" s="7" t="inlineStr">
        <is>
          <t>Pin comment: What color did you guess for the butterfly? 👇  |  campaigns/2026-10-10/3-benny-guess-butterfly.mp4</t>
        </is>
      </c>
      <c r="K44" s="6" t="inlineStr">
        <is>
          <t>Planned</t>
        </is>
      </c>
      <c r="L44" s="6" t="inlineStr"/>
      <c r="M44" s="6" t="inlineStr"/>
    </row>
    <row r="45" ht="135" customHeight="1">
      <c r="A45" s="7" t="inlineStr">
        <is>
          <t>2026-10-10</t>
        </is>
      </c>
      <c r="B45" s="7" t="inlineStr">
        <is>
          <t>Sat</t>
        </is>
      </c>
      <c r="C45" s="7" t="inlineStr">
        <is>
          <t>16:00</t>
        </is>
      </c>
      <c r="D45" s="7" t="inlineStr">
        <is>
          <t>IG + FB</t>
        </is>
      </c>
      <c r="E45" s="7" t="inlineStr">
        <is>
          <t>Benny</t>
        </is>
      </c>
      <c r="F45" s="7" t="inlineStr"/>
      <c r="G45" s="7" t="inlineStr">
        <is>
          <t>Reel: guess the colors (butterfly)</t>
        </is>
      </c>
      <c r="H45" s="8" t="inlineStr">
        <is>
          <t>▶ Open file</t>
        </is>
      </c>
      <c r="I45" s="7" t="inlineStr">
        <is>
          <t>Guess the colors before the end! 🦋🧸 A butterfly lands on Benny's nose. Hello! Kids color every page AND read the story. Ages 3-6.
Get it on Amazon: https://www.amazon.com/dp/B0HLVSLXK7 (Instagram: link in bio)
#coloringbook #kidsactivities #screenfree</t>
        </is>
      </c>
      <c r="J45" s="7" t="inlineStr">
        <is>
          <t>campaigns/2026-10-10/3-benny-guess-butterfly.mp4</t>
        </is>
      </c>
      <c r="K45" s="6" t="inlineStr">
        <is>
          <t>Planned</t>
        </is>
      </c>
      <c r="L45" s="6" t="inlineStr"/>
      <c r="M45" s="6" t="inlineStr"/>
    </row>
    <row r="46" ht="135" customHeight="1">
      <c r="A46" s="7" t="inlineStr">
        <is>
          <t>2026-10-10</t>
        </is>
      </c>
      <c r="B46" s="7" t="inlineStr">
        <is>
          <t>Sat</t>
        </is>
      </c>
      <c r="C46" s="7" t="inlineStr">
        <is>
          <t>16:00</t>
        </is>
      </c>
      <c r="D46" s="7" t="inlineStr">
        <is>
          <t>YouTube Shorts</t>
        </is>
      </c>
      <c r="E46" s="7" t="inlineStr">
        <is>
          <t>Benny</t>
        </is>
      </c>
      <c r="F46" s="7" t="inlineStr"/>
      <c r="G46" s="7" t="inlineStr">
        <is>
          <t>Short: guess the colors (butterfly)</t>
        </is>
      </c>
      <c r="H46" s="8" t="inlineStr">
        <is>
          <t>▶ Open file</t>
        </is>
      </c>
      <c r="I46" s="7" t="inlineStr">
        <is>
          <t>TITLE:
Guess the colors: Benny and the butterfly 🦋 #shorts #coloringbook
DESCRIPTION:
Benny the Bear's Cozy Day: a color &amp; read story book for kids ages 3-6.
Get it on Amazon: https://www.amazon.com/dp/B0HLVSLXK7
#coloringbook #kidsactivities #satisfying</t>
        </is>
      </c>
      <c r="J46" s="7" t="inlineStr">
        <is>
          <t>Not made for kids  |  campaigns/2026-10-10/3-yt-benny-guess-butterfly.mp4</t>
        </is>
      </c>
      <c r="K46" s="6" t="inlineStr">
        <is>
          <t>Planned</t>
        </is>
      </c>
      <c r="L46" s="6" t="inlineStr"/>
      <c r="M46" s="6" t="inlineStr"/>
    </row>
    <row r="47" ht="135" customHeight="1">
      <c r="A47" s="7" t="inlineStr">
        <is>
          <t>2026-10-10</t>
        </is>
      </c>
      <c r="B47" s="7" t="inlineStr">
        <is>
          <t>Sat</t>
        </is>
      </c>
      <c r="C47" s="7" t="inlineStr">
        <is>
          <t>any</t>
        </is>
      </c>
      <c r="D47" s="7" t="inlineStr">
        <is>
          <t>Pinterest</t>
        </is>
      </c>
      <c r="E47" s="7" t="inlineStr">
        <is>
          <t>Benny</t>
        </is>
      </c>
      <c r="F47" s="7" t="inlineStr"/>
      <c r="G47" s="7" t="inlineStr">
        <is>
          <t>Image pin: inside pages</t>
        </is>
      </c>
      <c r="H47" s="8" t="inlineStr">
        <is>
          <t>▶ Open file</t>
        </is>
      </c>
      <c r="I47" s="7" t="inlineStr">
        <is>
          <t>TITLE: Cute Bear Coloring Pages for Kids 3-6
DESCRIPTION: Inside Benny the Bear's Cozy Day: big, easy coloring pages with one short sentence each. Quiet time activity.
DESTINATION LINK: https://www.amazon.com/dp/B0HLVSLXK7
BOARD: Screen-Free Fun</t>
        </is>
      </c>
      <c r="J47" s="7" t="inlineStr">
        <is>
          <t>campaigns/2026-10-10/4-pin-benny-pages.png</t>
        </is>
      </c>
      <c r="K47" s="6" t="inlineStr">
        <is>
          <t>Planned</t>
        </is>
      </c>
      <c r="L47" s="6" t="inlineStr"/>
      <c r="M47" s="6" t="inlineStr"/>
    </row>
    <row r="48" ht="135" customHeight="1">
      <c r="A48" s="4" t="inlineStr">
        <is>
          <t>2026-10-11</t>
        </is>
      </c>
      <c r="B48" s="4" t="inlineStr">
        <is>
          <t>Sun</t>
        </is>
      </c>
      <c r="C48" s="4" t="inlineStr">
        <is>
          <t>15:00</t>
        </is>
      </c>
      <c r="D48" s="4" t="inlineStr">
        <is>
          <t>TikTok</t>
        </is>
      </c>
      <c r="E48" s="4" t="inlineStr">
        <is>
          <t>Nico</t>
        </is>
      </c>
      <c r="F48" s="4" t="inlineStr"/>
      <c r="G48" s="4" t="inlineStr">
        <is>
          <t>Video: guess the colors (snow angel)</t>
        </is>
      </c>
      <c r="H48" s="5" t="inlineStr">
        <is>
          <t>▶ Open file</t>
        </is>
      </c>
      <c r="I48" s="4" t="inlineStr">
        <is>
          <t>Christmas coloring book for kids: guess the colors before the end ❄️🦌 Nico makes his very first snow angel. Link in bio
#christmascoloring #coloringbook #colorwithme #toddleractivities #stockingstuffers</t>
        </is>
      </c>
      <c r="J48" s="4" t="inlineStr">
        <is>
          <t>Pin comment: What color did you guess for Nico? 👇  |  campaigns/2026-10-11/1-nico-guess-angel.mp4</t>
        </is>
      </c>
      <c r="K48" s="6" t="inlineStr">
        <is>
          <t>Planned</t>
        </is>
      </c>
      <c r="L48" s="6" t="inlineStr"/>
      <c r="M48" s="6" t="inlineStr"/>
    </row>
    <row r="49" ht="135" customHeight="1">
      <c r="A49" s="4" t="inlineStr">
        <is>
          <t>2026-10-11</t>
        </is>
      </c>
      <c r="B49" s="4" t="inlineStr">
        <is>
          <t>Sun</t>
        </is>
      </c>
      <c r="C49" s="4" t="inlineStr">
        <is>
          <t>15:00</t>
        </is>
      </c>
      <c r="D49" s="4" t="inlineStr">
        <is>
          <t>IG + FB</t>
        </is>
      </c>
      <c r="E49" s="4" t="inlineStr">
        <is>
          <t>Nico</t>
        </is>
      </c>
      <c r="F49" s="4" t="inlineStr"/>
      <c r="G49" s="4" t="inlineStr">
        <is>
          <t>Reel: guess the colors (snow angel)</t>
        </is>
      </c>
      <c r="H49" s="5" t="inlineStr">
        <is>
          <t>▶ Open file</t>
        </is>
      </c>
      <c r="I49" s="4" t="inlineStr">
        <is>
          <t>Guess the colors before the end! ❄️🦌 Nico makes his very first snow angel. Kids color every page AND read the story. Ages 3-6.
Get it on Amazon: https://www.amazon.com/dp/B0HLVTTK7T (Instagram: link in bio)
#christmascoloring #coloringbook #stockingstuffers</t>
        </is>
      </c>
      <c r="J49" s="4" t="inlineStr">
        <is>
          <t>Story with link  |  campaigns/2026-10-11/1-nico-guess-angel.mp4</t>
        </is>
      </c>
      <c r="K49" s="6" t="inlineStr">
        <is>
          <t>Planned</t>
        </is>
      </c>
      <c r="L49" s="6" t="inlineStr"/>
      <c r="M49" s="6" t="inlineStr"/>
    </row>
    <row r="50" ht="135" customHeight="1">
      <c r="A50" s="4" t="inlineStr">
        <is>
          <t>2026-10-11</t>
        </is>
      </c>
      <c r="B50" s="4" t="inlineStr">
        <is>
          <t>Sun</t>
        </is>
      </c>
      <c r="C50" s="4" t="inlineStr">
        <is>
          <t>15:00</t>
        </is>
      </c>
      <c r="D50" s="4" t="inlineStr">
        <is>
          <t>YouTube Shorts</t>
        </is>
      </c>
      <c r="E50" s="4" t="inlineStr">
        <is>
          <t>Nico</t>
        </is>
      </c>
      <c r="F50" s="4" t="inlineStr"/>
      <c r="G50" s="4" t="inlineStr">
        <is>
          <t>Short: guess the colors (snow angel)</t>
        </is>
      </c>
      <c r="H50" s="5" t="inlineStr">
        <is>
          <t>▶ Open file</t>
        </is>
      </c>
      <c r="I50" s="4" t="inlineStr">
        <is>
          <t>TITLE:
Christmas coloring page: guess the colors! ❄️ #shorts #coloringbook
DESCRIPTION:
Nico the Little Reindeer's Snowy Day: a color &amp; read Christmas story book for kids ages 3-6.
Get it on Amazon: https://www.amazon.com/dp/B0HLVTTK7T
#christmascoloring #coloringbook</t>
        </is>
      </c>
      <c r="J50" s="4" t="inlineStr">
        <is>
          <t>Not made for kids  |  campaigns/2026-10-11/1-yt-nico-guess-angel.mp4</t>
        </is>
      </c>
      <c r="K50" s="6" t="inlineStr">
        <is>
          <t>Planned</t>
        </is>
      </c>
      <c r="L50" s="6" t="inlineStr"/>
      <c r="M50" s="6" t="inlineStr"/>
    </row>
    <row r="51" ht="135" customHeight="1">
      <c r="A51" s="4" t="inlineStr">
        <is>
          <t>2026-10-11</t>
        </is>
      </c>
      <c r="B51" s="4" t="inlineStr">
        <is>
          <t>Sun</t>
        </is>
      </c>
      <c r="C51" s="4" t="inlineStr">
        <is>
          <t>16:00</t>
        </is>
      </c>
      <c r="D51" s="4" t="inlineStr">
        <is>
          <t>TikTok</t>
        </is>
      </c>
      <c r="E51" s="4" t="inlineStr">
        <is>
          <t>Benny</t>
        </is>
      </c>
      <c r="F51" s="4" t="inlineStr"/>
      <c r="G51" s="4" t="inlineStr">
        <is>
          <t>Video: read-along (kite, hill, hide and seek)</t>
        </is>
      </c>
      <c r="H51" s="5" t="inlineStr">
        <is>
          <t>▶ Open file</t>
        </is>
      </c>
      <c r="I51" s="4" t="inlineStr">
        <is>
          <t>Can your 4-year-old read this? 📖 Read along with Benny: one short sentence on every page. Link in bio
#learningtoread #preschoolathome #toddleractivities #coloringbook</t>
        </is>
      </c>
      <c r="J51" s="4" t="inlineStr">
        <is>
          <t>campaigns/2026-10-11/2-benny-read-along.mp4</t>
        </is>
      </c>
      <c r="K51" s="6" t="inlineStr">
        <is>
          <t>Planned</t>
        </is>
      </c>
      <c r="L51" s="6" t="inlineStr"/>
      <c r="M51" s="6" t="inlineStr"/>
    </row>
    <row r="52" ht="135" customHeight="1">
      <c r="A52" s="4" t="inlineStr">
        <is>
          <t>2026-10-11</t>
        </is>
      </c>
      <c r="B52" s="4" t="inlineStr">
        <is>
          <t>Sun</t>
        </is>
      </c>
      <c r="C52" s="4" t="inlineStr">
        <is>
          <t>16:00</t>
        </is>
      </c>
      <c r="D52" s="4" t="inlineStr">
        <is>
          <t>IG + FB</t>
        </is>
      </c>
      <c r="E52" s="4" t="inlineStr">
        <is>
          <t>Benny</t>
        </is>
      </c>
      <c r="F52" s="4" t="inlineStr"/>
      <c r="G52" s="4" t="inlineStr">
        <is>
          <t>Reel: read-along</t>
        </is>
      </c>
      <c r="H52" s="5" t="inlineStr">
        <is>
          <t>▶ Open file</t>
        </is>
      </c>
      <c r="I52" s="4" t="inlineStr">
        <is>
          <t>Can your 4-year-old read this? 📖 Read along with Benny: one big picture and one short sentence on every page.
Get it on Amazon: https://www.amazon.com/dp/B0HLVSLXK7 (Instagram: link in bio)
#learningtoread #preschoolathome #toddleractivities</t>
        </is>
      </c>
      <c r="J52" s="4" t="inlineStr">
        <is>
          <t>campaigns/2026-10-11/2-benny-read-along.mp4</t>
        </is>
      </c>
      <c r="K52" s="6" t="inlineStr">
        <is>
          <t>Planned</t>
        </is>
      </c>
      <c r="L52" s="6" t="inlineStr"/>
      <c r="M52" s="6" t="inlineStr"/>
    </row>
    <row r="53" ht="135" customHeight="1">
      <c r="A53" s="4" t="inlineStr">
        <is>
          <t>2026-10-11</t>
        </is>
      </c>
      <c r="B53" s="4" t="inlineStr">
        <is>
          <t>Sun</t>
        </is>
      </c>
      <c r="C53" s="4" t="inlineStr">
        <is>
          <t>16:00</t>
        </is>
      </c>
      <c r="D53" s="4" t="inlineStr">
        <is>
          <t>YouTube Shorts</t>
        </is>
      </c>
      <c r="E53" s="4" t="inlineStr">
        <is>
          <t>Benny</t>
        </is>
      </c>
      <c r="F53" s="4" t="inlineStr"/>
      <c r="G53" s="4" t="inlineStr">
        <is>
          <t>Short: read-along</t>
        </is>
      </c>
      <c r="H53" s="5" t="inlineStr">
        <is>
          <t>▶ Open file</t>
        </is>
      </c>
      <c r="I53" s="4" t="inlineStr">
        <is>
          <t>TITLE:
Can your 4 year old read this? 📖 #shorts #learningtoread
DESCRIPTION:
Read along with Benny the Bear: one big picture + one short sentence in big letters on every page. Ages 3-6.
Get it on Amazon: https://www.amazon.com/dp/B0HLVSLXK7
#learningtoread #preschool #coloringbook</t>
        </is>
      </c>
      <c r="J53" s="4" t="inlineStr">
        <is>
          <t>Not made for kids  |  campaigns/2026-10-11/2-yt-benny-read-along.mp4</t>
        </is>
      </c>
      <c r="K53" s="6" t="inlineStr">
        <is>
          <t>Planned</t>
        </is>
      </c>
      <c r="L53" s="6" t="inlineStr"/>
      <c r="M53" s="6" t="inlineStr"/>
    </row>
    <row r="54" ht="135" customHeight="1">
      <c r="A54" s="4" t="inlineStr">
        <is>
          <t>2026-10-11</t>
        </is>
      </c>
      <c r="B54" s="4" t="inlineStr">
        <is>
          <t>Sun</t>
        </is>
      </c>
      <c r="C54" s="4" t="inlineStr">
        <is>
          <t>any</t>
        </is>
      </c>
      <c r="D54" s="4" t="inlineStr">
        <is>
          <t>Pinterest</t>
        </is>
      </c>
      <c r="E54" s="4" t="inlineStr">
        <is>
          <t>Nico</t>
        </is>
      </c>
      <c r="F54" s="4" t="inlineStr"/>
      <c r="G54" s="4" t="inlineStr">
        <is>
          <t>Image pin: cover</t>
        </is>
      </c>
      <c r="H54" s="5" t="inlineStr">
        <is>
          <t>▶ Open file</t>
        </is>
      </c>
      <c r="I54" s="4" t="inlineStr">
        <is>
          <t>TITLE: Cute Reindeer Christmas Coloring Book for Kids 3-6
DESCRIPTION: Nico the Little Reindeer's Snowy Day: a color and read Christmas story book for preschool and kindergarten.
DESTINATION LINK: https://www.amazon.com/dp/B0HLVTTK7T
BOARD: Christmas Gifts for Kids</t>
        </is>
      </c>
      <c r="J54" s="4" t="inlineStr">
        <is>
          <t>campaigns/2026-10-11/3-pin-nico-cover.png</t>
        </is>
      </c>
      <c r="K54" s="6" t="inlineStr">
        <is>
          <t>Planned</t>
        </is>
      </c>
      <c r="L54" s="6" t="inlineStr"/>
      <c r="M54" s="6" t="inlineStr"/>
    </row>
    <row r="55" ht="60" customHeight="1">
      <c r="A55" s="4" t="inlineStr">
        <is>
          <t>2026-10-11</t>
        </is>
      </c>
      <c r="B55" s="4" t="inlineStr">
        <is>
          <t>Sun</t>
        </is>
      </c>
      <c r="C55" s="4" t="inlineStr">
        <is>
          <t>evening</t>
        </is>
      </c>
      <c r="D55" s="4" t="inlineStr">
        <is>
          <t>Sunday check</t>
        </is>
      </c>
      <c r="E55" s="4" t="inlineStr">
        <is>
          <t>All</t>
        </is>
      </c>
      <c r="F55" s="4" t="inlineStr"/>
      <c r="G55" s="4" t="inlineStr">
        <is>
          <t>KDP sales + best 3 posts</t>
        </is>
      </c>
      <c r="H55" s="4" t="inlineStr"/>
      <c r="I55" s="4" t="inlineStr">
        <is>
          <t>Send Claude a screenshot of KDP Reports + the 3 posts with the most views/link clicks</t>
        </is>
      </c>
      <c r="J55" s="4" t="inlineStr"/>
      <c r="K55" s="6" t="inlineStr">
        <is>
          <t>Planned</t>
        </is>
      </c>
      <c r="L55" s="6" t="inlineStr"/>
      <c r="M55" s="6" t="inlineStr"/>
    </row>
  </sheetData>
  <autoFilter ref="A3:M55"/>
  <dataValidations count="1">
    <dataValidation sqref="K4:K55" showDropDown="0" showInputMessage="0" showErrorMessage="0" allowBlank="1" type="list">
      <formula1>"Planned,To do,Scheduled,Posted,Skipped"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1" r:id="rId28"/>
    <hyperlink xmlns:r="http://schemas.openxmlformats.org/officeDocument/2006/relationships" ref="H32" r:id="rId29"/>
    <hyperlink xmlns:r="http://schemas.openxmlformats.org/officeDocument/2006/relationships" ref="H33" r:id="rId30"/>
    <hyperlink xmlns:r="http://schemas.openxmlformats.org/officeDocument/2006/relationships" ref="H34" r:id="rId31"/>
    <hyperlink xmlns:r="http://schemas.openxmlformats.org/officeDocument/2006/relationships" ref="H35" r:id="rId32"/>
    <hyperlink xmlns:r="http://schemas.openxmlformats.org/officeDocument/2006/relationships" ref="H36" r:id="rId33"/>
    <hyperlink xmlns:r="http://schemas.openxmlformats.org/officeDocument/2006/relationships" ref="H37" r:id="rId34"/>
    <hyperlink xmlns:r="http://schemas.openxmlformats.org/officeDocument/2006/relationships" ref="H38" r:id="rId35"/>
    <hyperlink xmlns:r="http://schemas.openxmlformats.org/officeDocument/2006/relationships" ref="H39" r:id="rId36"/>
    <hyperlink xmlns:r="http://schemas.openxmlformats.org/officeDocument/2006/relationships" ref="H40" r:id="rId37"/>
    <hyperlink xmlns:r="http://schemas.openxmlformats.org/officeDocument/2006/relationships" ref="H41" r:id="rId38"/>
    <hyperlink xmlns:r="http://schemas.openxmlformats.org/officeDocument/2006/relationships" ref="H42" r:id="rId39"/>
    <hyperlink xmlns:r="http://schemas.openxmlformats.org/officeDocument/2006/relationships" ref="H43" r:id="rId40"/>
    <hyperlink xmlns:r="http://schemas.openxmlformats.org/officeDocument/2006/relationships" ref="H44" r:id="rId41"/>
    <hyperlink xmlns:r="http://schemas.openxmlformats.org/officeDocument/2006/relationships" ref="H45" r:id="rId42"/>
    <hyperlink xmlns:r="http://schemas.openxmlformats.org/officeDocument/2006/relationships" ref="H46" r:id="rId43"/>
    <hyperlink xmlns:r="http://schemas.openxmlformats.org/officeDocument/2006/relationships" ref="H47" r:id="rId44"/>
    <hyperlink xmlns:r="http://schemas.openxmlformats.org/officeDocument/2006/relationships" ref="H48" r:id="rId45"/>
    <hyperlink xmlns:r="http://schemas.openxmlformats.org/officeDocument/2006/relationships" ref="H49" r:id="rId46"/>
    <hyperlink xmlns:r="http://schemas.openxmlformats.org/officeDocument/2006/relationships" ref="H50" r:id="rId47"/>
    <hyperlink xmlns:r="http://schemas.openxmlformats.org/officeDocument/2006/relationships" ref="H51" r:id="rId48"/>
    <hyperlink xmlns:r="http://schemas.openxmlformats.org/officeDocument/2006/relationships" ref="H52" r:id="rId49"/>
    <hyperlink xmlns:r="http://schemas.openxmlformats.org/officeDocument/2006/relationships" ref="H53" r:id="rId50"/>
    <hyperlink xmlns:r="http://schemas.openxmlformats.org/officeDocument/2006/relationships" ref="H54" r:id="rId51"/>
  </hyperlinks>
  <pageMargins left="0.75" right="0.75" top="1" bottom="1" header="0.5" footer="0.5"/>
  <drawing xmlns:r="http://schemas.openxmlformats.org/officeDocument/2006/relationships" r:id="rId5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9" t="inlineStr">
        <is>
          <t>Posts per platform (updates when you change Status)</t>
        </is>
      </c>
    </row>
    <row r="2">
      <c r="A2" s="10" t="inlineStr">
        <is>
          <t>Platform</t>
        </is>
      </c>
      <c r="B2" s="10" t="inlineStr">
        <is>
          <t>Planned</t>
        </is>
      </c>
      <c r="C2" s="10" t="inlineStr">
        <is>
          <t>Scheduled</t>
        </is>
      </c>
      <c r="D2" s="10" t="inlineStr">
        <is>
          <t>Posted</t>
        </is>
      </c>
      <c r="E2" s="10" t="inlineStr">
        <is>
          <t>Total</t>
        </is>
      </c>
    </row>
    <row r="3">
      <c r="A3" s="11" t="inlineStr">
        <is>
          <t>TikTok</t>
        </is>
      </c>
      <c r="B3" s="11">
        <f>COUNTIFS(Schedule!$D$4:$D$55,"*TikTok*",Schedule!$K$4:$K$55,"Planned")</f>
        <v/>
      </c>
      <c r="C3" s="11">
        <f>COUNTIFS(Schedule!$D$4:$D$55,"*TikTok*",Schedule!$K$4:$K$55,"Scheduled")</f>
        <v/>
      </c>
      <c r="D3" s="11">
        <f>COUNTIFS(Schedule!$D$4:$D$55,"*TikTok*",Schedule!$K$4:$K$55,"Posted")</f>
        <v/>
      </c>
      <c r="E3" s="11">
        <f>SUM(B3:D3)</f>
        <v/>
      </c>
    </row>
    <row r="4">
      <c r="A4" s="11" t="inlineStr">
        <is>
          <t>YouTube Shorts</t>
        </is>
      </c>
      <c r="B4" s="11">
        <f>COUNTIFS(Schedule!$D$4:$D$55,"*YouTube*",Schedule!$K$4:$K$55,"Planned")</f>
        <v/>
      </c>
      <c r="C4" s="11">
        <f>COUNTIFS(Schedule!$D$4:$D$55,"*YouTube*",Schedule!$K$4:$K$55,"Scheduled")</f>
        <v/>
      </c>
      <c r="D4" s="11">
        <f>COUNTIFS(Schedule!$D$4:$D$55,"*YouTube*",Schedule!$K$4:$K$55,"Posted")</f>
        <v/>
      </c>
      <c r="E4" s="11">
        <f>SUM(B4:D4)</f>
        <v/>
      </c>
    </row>
    <row r="5">
      <c r="A5" s="11" t="inlineStr">
        <is>
          <t>Instagram</t>
        </is>
      </c>
      <c r="B5" s="11">
        <f>COUNTIFS(Schedule!$D$4:$D$55,"*Instagram*",Schedule!$K$4:$K$55,"Planned")+COUNTIFS(Schedule!$D$4:$D$55,"*IG*",Schedule!$K$4:$K$55,"Planned")</f>
        <v/>
      </c>
      <c r="C5" s="11">
        <f>COUNTIFS(Schedule!$D$4:$D$55,"*Instagram*",Schedule!$K$4:$K$55,"Scheduled")+COUNTIFS(Schedule!$D$4:$D$55,"*IG*",Schedule!$K$4:$K$55,"Scheduled")</f>
        <v/>
      </c>
      <c r="D5" s="11">
        <f>COUNTIFS(Schedule!$D$4:$D$55,"*Instagram*",Schedule!$K$4:$K$55,"Posted")+COUNTIFS(Schedule!$D$4:$D$55,"*IG*",Schedule!$K$4:$K$55,"Posted")</f>
        <v/>
      </c>
      <c r="E5" s="11">
        <f>SUM(B5:D5)</f>
        <v/>
      </c>
    </row>
    <row r="6">
      <c r="A6" s="11" t="inlineStr">
        <is>
          <t>Facebook</t>
        </is>
      </c>
      <c r="B6" s="11">
        <f>COUNTIFS(Schedule!$D$4:$D$55,"*Facebook*",Schedule!$K$4:$K$55,"Planned")+COUNTIFS(Schedule!$D$4:$D$55,"*FB*",Schedule!$K$4:$K$55,"Planned")</f>
        <v/>
      </c>
      <c r="C6" s="11">
        <f>COUNTIFS(Schedule!$D$4:$D$55,"*Facebook*",Schedule!$K$4:$K$55,"Scheduled")+COUNTIFS(Schedule!$D$4:$D$55,"*FB*",Schedule!$K$4:$K$55,"Scheduled")</f>
        <v/>
      </c>
      <c r="D6" s="11">
        <f>COUNTIFS(Schedule!$D$4:$D$55,"*Facebook*",Schedule!$K$4:$K$55,"Posted")+COUNTIFS(Schedule!$D$4:$D$55,"*FB*",Schedule!$K$4:$K$55,"Posted")</f>
        <v/>
      </c>
      <c r="E6" s="11">
        <f>SUM(B6:D6)</f>
        <v/>
      </c>
    </row>
    <row r="7">
      <c r="A7" s="11" t="inlineStr">
        <is>
          <t>Pinterest</t>
        </is>
      </c>
      <c r="B7" s="11">
        <f>COUNTIFS(Schedule!$D$4:$D$55,"*Pinterest*",Schedule!$K$4:$K$55,"Planned")</f>
        <v/>
      </c>
      <c r="C7" s="11">
        <f>COUNTIFS(Schedule!$D$4:$D$55,"*Pinterest*",Schedule!$K$4:$K$55,"Scheduled")</f>
        <v/>
      </c>
      <c r="D7" s="11">
        <f>COUNTIFS(Schedule!$D$4:$D$55,"*Pinterest*",Schedule!$K$4:$K$55,"Posted")</f>
        <v/>
      </c>
      <c r="E7" s="11">
        <f>SUM(B7:D7)</f>
        <v/>
      </c>
    </row>
    <row r="9">
      <c r="A9" s="2" t="inlineStr">
        <is>
          <t>A row like 'TikTok + IG + FB + YouTube' counts once for each platform it names.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4" customWidth="1" min="3" max="3"/>
    <col width="34" customWidth="1" min="4" max="4"/>
  </cols>
  <sheetData>
    <row r="1">
      <c r="A1" s="9" t="inlineStr">
        <is>
          <t>Daily workplan (from the ad research, see campaigns/WORKPLAN.md)</t>
        </is>
      </c>
    </row>
    <row r="2">
      <c r="A2" s="10" t="inlineStr">
        <is>
          <t>Platform</t>
        </is>
      </c>
      <c r="B2" s="10" t="inlineStr">
        <is>
          <t>Per day</t>
        </is>
      </c>
      <c r="C2" s="10" t="inlineStr">
        <is>
          <t>Carousels</t>
        </is>
      </c>
      <c r="D2" s="10" t="inlineStr">
        <is>
          <t>Extra</t>
        </is>
      </c>
    </row>
    <row r="3">
      <c r="A3" s="12" t="inlineStr">
        <is>
          <t>TikTok</t>
        </is>
      </c>
      <c r="B3" s="12" t="inlineStr">
        <is>
          <t>2 videos (19:00 + 21:00)</t>
        </is>
      </c>
      <c r="C3" s="12" t="inlineStr">
        <is>
          <t>+1 photo carousel Mon/Thu/Sat</t>
        </is>
      </c>
      <c r="D3" s="12" t="inlineStr">
        <is>
          <t>Pin a question comment</t>
        </is>
      </c>
    </row>
    <row r="4">
      <c r="A4" s="12" t="inlineStr">
        <is>
          <t>YouTube Shorts</t>
        </is>
      </c>
      <c r="B4" s="12" t="inlineStr">
        <is>
          <t>2 Shorts (yt- files)</t>
        </is>
      </c>
      <c r="C4" s="12" t="inlineStr">
        <is>
          <t>Carousel only as a video</t>
        </is>
      </c>
      <c r="D4" s="12" t="inlineStr">
        <is>
          <t>'Not made for kids'</t>
        </is>
      </c>
    </row>
    <row r="5">
      <c r="A5" s="12" t="inlineStr">
        <is>
          <t>Instagram</t>
        </is>
      </c>
      <c r="B5" s="12" t="inlineStr">
        <is>
          <t>2 Reels, one per book (19:00 + 21:00)</t>
        </is>
      </c>
      <c r="C5" s="12" t="inlineStr">
        <is>
          <t>+1 carousel post Mon/Thu/Sat</t>
        </is>
      </c>
      <c r="D5" s="12" t="inlineStr">
        <is>
          <t>Story with Link sticker</t>
        </is>
      </c>
    </row>
    <row r="6">
      <c r="A6" s="12" t="inlineStr">
        <is>
          <t>Facebook</t>
        </is>
      </c>
      <c r="B6" s="12" t="inlineStr">
        <is>
          <t>2 Reels (same as Instagram)</t>
        </is>
      </c>
      <c r="C6" s="12" t="inlineStr">
        <is>
          <t>+1 carousel post Mon/Thu/Sat</t>
        </is>
      </c>
      <c r="D6" s="12" t="inlineStr">
        <is>
          <t>Business Suite = IG + FB at once</t>
        </is>
      </c>
    </row>
    <row r="7">
      <c r="A7" s="12" t="inlineStr">
        <is>
          <t>Pinterest</t>
        </is>
      </c>
      <c r="B7" s="12" t="inlineStr">
        <is>
          <t>1 pin</t>
        </is>
      </c>
      <c r="C7" s="12" t="inlineStr">
        <is>
          <t>-</t>
        </is>
      </c>
      <c r="D7" s="12" t="inlineStr">
        <is>
          <t>Destination link = Amazon</t>
        </is>
      </c>
    </row>
    <row r="8">
      <c r="A8" s="12" t="inlineStr">
        <is>
          <t>Times (Czech)</t>
        </is>
      </c>
      <c r="B8" s="12" t="inlineStr">
        <is>
          <t>Mon-Fri 19:00-21:00</t>
        </is>
      </c>
      <c r="C8" s="12" t="inlineStr">
        <is>
          <t>Sat-Sun 15:00-16:00</t>
        </is>
      </c>
      <c r="D8" s="12" t="inlineStr"/>
    </row>
    <row r="9">
      <c r="A9" s="12" t="inlineStr">
        <is>
          <t>Which book</t>
        </is>
      </c>
      <c r="B9" s="12" t="inlineStr">
        <is>
          <t>Nico 2 of every 3 posts until Dec 10</t>
        </is>
      </c>
      <c r="C9" s="12" t="inlineStr">
        <is>
          <t>New books: 1 video a day for 7 days</t>
        </is>
      </c>
      <c r="D9" s="12" t="inlineStr">
        <is>
          <t>Dex: on hold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2026-10-06T06:16:48Z</dcterms:created>
  <dcterms:modified xmlns:dcterms="http://purl.org/dc/terms/" xmlns:xsi="http://www.w3.org/2001/XMLSchema-instance" xsi:type="dcterms:W3CDTF">2026-10-06T06:16:59Z</dcterms:modified>
</cp:coreProperties>
</file>